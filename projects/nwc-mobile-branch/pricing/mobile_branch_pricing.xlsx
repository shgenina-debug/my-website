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العرض" sheetId="1" state="visible" r:id="rId3"/>
    <sheet name="ملخص البنود" sheetId="2" state="visible" r:id="rId4"/>
    <sheet name="المدخلات" sheetId="3" state="visible" r:id="rId5"/>
    <sheet name="تكسير البنود" sheetId="4" state="visible" r:id="rId6"/>
    <sheet name="مصاريف المشروع" sheetId="5" state="visible" r:id="rId7"/>
    <sheet name="البنود الاختيارية" sheetId="6" state="visible" r:id="rId8"/>
    <sheet name="المصادر" sheetId="7" state="visible" r:id="rId9"/>
  </sheets>
  <definedNames>
    <definedName function="false" hidden="true" localSheetId="3" name="_xlnm._FilterDatabase" vbProcedure="false">'تكسير البنود'!$A$3:$N$240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<sst xmlns="http://schemas.openxmlformats.org/spreadsheetml/2006/main" count="1989" uniqueCount="486">
  <si>
    <t xml:space="preserve">ملخص العرض المالي</t>
  </si>
  <si>
    <t xml:space="preserve">المكوّن</t>
  </si>
  <si>
    <t xml:space="preserve">المبلغ (ر.س)</t>
  </si>
  <si>
    <t xml:space="preserve">من سعر العرض</t>
  </si>
  <si>
    <t xml:space="preserve">التكلفة المباشرة</t>
  </si>
  <si>
    <t xml:space="preserve">مصاريف المشروع غير المباشرة</t>
  </si>
  <si>
    <t xml:space="preserve">تكلفة المشروع</t>
  </si>
  <si>
    <t xml:space="preserve">المصاريف العامة للشركة</t>
  </si>
  <si>
    <t xml:space="preserve">تكلفة التمويل</t>
  </si>
  <si>
    <t xml:space="preserve">الضمانات البنكية والتأمين</t>
  </si>
  <si>
    <t xml:space="preserve">المخاطر والطوارئ</t>
  </si>
  <si>
    <t xml:space="preserve">إجمالي التكلفة</t>
  </si>
  <si>
    <t xml:space="preserve">الربح</t>
  </si>
  <si>
    <t xml:space="preserve">سعر العرض قبل الضريبة (محسوب)</t>
  </si>
  <si>
    <t xml:space="preserve">معامل التحميل على التكلفة المباشرة</t>
  </si>
  <si>
    <t xml:space="preserve">مجموع جدول الكميات المسعّر (المعتمد في العرض)</t>
  </si>
  <si>
    <t xml:space="preserve">ضريبة القيمة المضافة</t>
  </si>
  <si>
    <t xml:space="preserve">الإجمالي شامل الضريبة</t>
  </si>
  <si>
    <t xml:space="preserve">سعر العرض السابق قبل الضريبة (21/10/2026)</t>
  </si>
  <si>
    <t xml:space="preserve">الفرق عن العرض السابق</t>
  </si>
  <si>
    <t xml:space="preserve">نسبة الفرق</t>
  </si>
  <si>
    <t xml:space="preserve">تكوين التكلفة المباشرة حسب مستوى الثقة</t>
  </si>
  <si>
    <t xml:space="preserve">مستوى الثقة</t>
  </si>
  <si>
    <t xml:space="preserve">من التكلفة المباشرة</t>
  </si>
  <si>
    <t xml:space="preserve">مصدر سعودي</t>
  </si>
  <si>
    <t xml:space="preserve">مصدر دولي + استيراد</t>
  </si>
  <si>
    <t xml:space="preserve">تقدير بين مصادر</t>
  </si>
  <si>
    <t xml:space="preserve">افتراض — يلزم عرض سعر</t>
  </si>
  <si>
    <t xml:space="preserve">تكوين التكلفة المباشرة حسب النوع</t>
  </si>
  <si>
    <t xml:space="preserve">النوع</t>
  </si>
  <si>
    <t xml:space="preserve">مواد/معدات</t>
  </si>
  <si>
    <t xml:space="preserve">عمالة</t>
  </si>
  <si>
    <t xml:space="preserve">مقاول باطن/خدمة</t>
  </si>
  <si>
    <t xml:space="preserve">تحقق: مجموع التكوين يساوي التكلفة المباشرة</t>
  </si>
  <si>
    <t xml:space="preserve">ملخص البنود وجدول الكميات المسعّر</t>
  </si>
  <si>
    <t xml:space="preserve">التكلفة المباشرة من ورقة التكسير، والسعر = التكلفة × معامل التحميل (توزيع متوازن). الأسعار قبل الضريبة.</t>
  </si>
  <si>
    <t xml:space="preserve">البند</t>
  </si>
  <si>
    <t xml:space="preserve">الوصف</t>
  </si>
  <si>
    <t xml:space="preserve">التكلفة المباشرة (ر.س)</t>
  </si>
  <si>
    <t xml:space="preserve">تقدير التصميم R03 (ر.س)</t>
  </si>
  <si>
    <t xml:space="preserve">الفرق (ر.س)</t>
  </si>
  <si>
    <t xml:space="preserve">الفرق %</t>
  </si>
  <si>
    <t xml:space="preserve">منها افتراضات (ر.س)</t>
  </si>
  <si>
    <t xml:space="preserve">نسبة الافتراضات</t>
  </si>
  <si>
    <t xml:space="preserve">سعر البند في العرض (ر.س)</t>
  </si>
  <si>
    <t xml:space="preserve">01</t>
  </si>
  <si>
    <t xml:space="preserve">شاسيه سيمي تريلر منخفض 12 م</t>
  </si>
  <si>
    <t xml:space="preserve">02</t>
  </si>
  <si>
    <t xml:space="preserve">هيكل الصندوق والعزل والأرضية</t>
  </si>
  <si>
    <t xml:space="preserve">03</t>
  </si>
  <si>
    <t xml:space="preserve">الأبواب والنوافذ</t>
  </si>
  <si>
    <t xml:space="preserve">04</t>
  </si>
  <si>
    <t xml:space="preserve">مصعد الكراسي والسلالم</t>
  </si>
  <si>
    <t xml:space="preserve">05</t>
  </si>
  <si>
    <t xml:space="preserve">التشطيبات الداخلية والأثاث</t>
  </si>
  <si>
    <t xml:space="preserve">06</t>
  </si>
  <si>
    <t xml:space="preserve">التكييف والتهوية</t>
  </si>
  <si>
    <t xml:space="preserve">07</t>
  </si>
  <si>
    <t xml:space="preserve">السباكة والمياه</t>
  </si>
  <si>
    <t xml:space="preserve">08</t>
  </si>
  <si>
    <t xml:space="preserve">الكهرباء العامة</t>
  </si>
  <si>
    <t xml:space="preserve">09</t>
  </si>
  <si>
    <t xml:space="preserve">المولد الصامت</t>
  </si>
  <si>
    <t xml:space="preserve">10</t>
  </si>
  <si>
    <t xml:space="preserve">التخزين والتحويل (انفرتر وبطاريات)</t>
  </si>
  <si>
    <t xml:space="preserve">11</t>
  </si>
  <si>
    <t xml:space="preserve">النظام الشمسي</t>
  </si>
  <si>
    <t xml:space="preserve">12</t>
  </si>
  <si>
    <t xml:space="preserve">UPS</t>
  </si>
  <si>
    <t xml:space="preserve">13</t>
  </si>
  <si>
    <t xml:space="preserve">التيار الخفيف والشبكات والأمن</t>
  </si>
  <si>
    <t xml:space="preserve">14</t>
  </si>
  <si>
    <t xml:space="preserve">إدارة الأدوار وأجهزة تقنية المعلومات</t>
  </si>
  <si>
    <t xml:space="preserve">15</t>
  </si>
  <si>
    <t xml:space="preserve">الشاشة الخارجية LED</t>
  </si>
  <si>
    <t xml:space="preserve">16</t>
  </si>
  <si>
    <t xml:space="preserve">السلامة والإطفاء</t>
  </si>
  <si>
    <t xml:space="preserve">17</t>
  </si>
  <si>
    <t xml:space="preserve">الهوية البصرية والمظلة</t>
  </si>
  <si>
    <t xml:space="preserve">18</t>
  </si>
  <si>
    <t xml:space="preserve">التصميم والاعتمادات والاختبارات والنقل</t>
  </si>
  <si>
    <t xml:space="preserve">الإجمالي</t>
  </si>
  <si>
    <t xml:space="preserve">فرق التقريب عن الملخص</t>
  </si>
  <si>
    <t xml:space="preserve">المدخلات والافتراضات — فرع خدمة العملاء المتنقل</t>
  </si>
  <si>
    <t xml:space="preserve">الخلايا الزرقاء مدخلات تُعدَّل، والصفراء افتراضات رئيسية. كل الأسعار قبل ضريبة القيمة المضافة. تاريخ مراجعة الأسعار: 21/10/2026.</t>
  </si>
  <si>
    <t xml:space="preserve">القيمة</t>
  </si>
  <si>
    <t xml:space="preserve">ملاحظة / المصدر</t>
  </si>
  <si>
    <t xml:space="preserve">SAR</t>
  </si>
  <si>
    <t xml:space="preserve">الريال السعودي</t>
  </si>
  <si>
    <t xml:space="preserve">USD</t>
  </si>
  <si>
    <t xml:space="preserve">سعر الربط الرسمي</t>
  </si>
  <si>
    <t xml:space="preserve">EUR</t>
  </si>
  <si>
    <t xml:space="preserve">افتراض — يُحدَّث بسعر يوم التسعير</t>
  </si>
  <si>
    <t xml:space="preserve">GBP</t>
  </si>
  <si>
    <t xml:space="preserve">AED</t>
  </si>
  <si>
    <t xml:space="preserve">مشتق من ربط الريال والدرهم بالدولار</t>
  </si>
  <si>
    <t xml:space="preserve">AUD</t>
  </si>
  <si>
    <t xml:space="preserve">معامل تكلفة الاستيراد (شحن + جمارك 5% + تخليص وتأمين)</t>
  </si>
  <si>
    <t xml:space="preserve">افتراض: شحن ≈ 6% + رسوم جمركية 5% + تخليص وتأمين ونقل داخلي ≈ 4%</t>
  </si>
  <si>
    <t xml:space="preserve">تكلفة يوم العامل الماهر (شاملة السكن والمقابل المالي والتأمينات)</t>
  </si>
  <si>
    <t xml:space="preserve">افتراض: راتب لحام/فني 6,000–12,000 ر.س شهرياً (Paylab) + تكاليف نظامية ÷ 26 يوم عمل</t>
  </si>
  <si>
    <t xml:space="preserve">تكلفة يوم العامل المساعد</t>
  </si>
  <si>
    <t xml:space="preserve">افتراض</t>
  </si>
  <si>
    <t xml:space="preserve">مدة المشروع (أشهر)</t>
  </si>
  <si>
    <t xml:space="preserve">التسليم خلال 90 يوماً</t>
  </si>
  <si>
    <t xml:space="preserve">المصاريف العامة للشركة (من تكلفة المشروع)</t>
  </si>
  <si>
    <t xml:space="preserve">تكلفة التمويل (من تكلفة المشروع)</t>
  </si>
  <si>
    <t xml:space="preserve">بافتراض عدم وجود دفعة مقدمة؛ يُخفَّض إن نصت الكراسة عليها</t>
  </si>
  <si>
    <t xml:space="preserve">الضمانات البنكية والتأمين (من تكلفة المشروع)</t>
  </si>
  <si>
    <t xml:space="preserve">المخاطر والطوارئ (من تكلفة المشروع)</t>
  </si>
  <si>
    <t xml:space="preserve">الربح (من إجمالي التكلفة)</t>
  </si>
  <si>
    <t xml:space="preserve">مستويات الثقة في الأسعار</t>
  </si>
  <si>
    <t xml:space="preserve">سعر من متجر أو جهة سعودية</t>
  </si>
  <si>
    <t xml:space="preserve">سعر من متجر دولي + معامل الاستيراد</t>
  </si>
  <si>
    <t xml:space="preserve">تقدير مبني على أكثر من مصدر أو منتج مقارب</t>
  </si>
  <si>
    <t xml:space="preserve">تقدير هندسي — يجب استبداله بعرض سعر مورد</t>
  </si>
  <si>
    <t xml:space="preserve">تكسير البنود — التكلفة المباشرة (قبل الضريبة)</t>
  </si>
  <si>
    <t xml:space="preserve">م</t>
  </si>
  <si>
    <t xml:space="preserve">الوحدة</t>
  </si>
  <si>
    <t xml:space="preserve">الكمية</t>
  </si>
  <si>
    <t xml:space="preserve">سعر الوحدة (بالعملة)</t>
  </si>
  <si>
    <t xml:space="preserve">العملة</t>
  </si>
  <si>
    <t xml:space="preserve">مستورد؟</t>
  </si>
  <si>
    <t xml:space="preserve">سعر الوحدة (ر.س)</t>
  </si>
  <si>
    <t xml:space="preserve">الإجمالي (ر.س)</t>
  </si>
  <si>
    <t xml:space="preserve">الأساس</t>
  </si>
  <si>
    <t xml:space="preserve">الرابط</t>
  </si>
  <si>
    <t xml:space="preserve">البند 01 — شاسيه سيمي تريلر منخفض 12 م</t>
  </si>
  <si>
    <t xml:space="preserve">حديد S355 للكمرات المركبة والعرضيات والسكك والرقبة والصدام (2.93 طن + 5% هالك)</t>
  </si>
  <si>
    <t xml:space="preserve">طن</t>
  </si>
  <si>
    <t xml:space="preserve">ر.س</t>
  </si>
  <si>
    <t xml:space="preserve">لا</t>
  </si>
  <si>
    <t xml:space="preserve">سعر حديد التسليح 2,260 ر.س/طن (حديد، فبراير 2026) + علاوة المقاطع والألواح الإنشائية</t>
  </si>
  <si>
    <t xml:space="preserve">https://new.aisusteel.org/archives/3349</t>
  </si>
  <si>
    <t xml:space="preserve">تصنيع ولحام الشاسيه (3 لحامين × 12 يوم)</t>
  </si>
  <si>
    <t xml:space="preserve">يوم</t>
  </si>
  <si>
    <t xml:space="preserve">معدل العمالة من ورقة المدخلات</t>
  </si>
  <si>
    <t xml:space="preserve">https://saudiarabia.paylab.com/salaryinfo/mechanical-engineering/welder</t>
  </si>
  <si>
    <t xml:space="preserve">عمالة مساعدة للشاسيه</t>
  </si>
  <si>
    <t xml:space="preserve">محور 9 طن بفرامل قرصية</t>
  </si>
  <si>
    <t xml:space="preserve">عدد</t>
  </si>
  <si>
    <t xml:space="preserve">نعم</t>
  </si>
  <si>
    <t xml:space="preserve">لم يُعثر على سعر منشور — يلزم عرض مصنّع محاور</t>
  </si>
  <si>
    <t xml:space="preserve">تعليق هوائي ثنائي المحور كامل</t>
  </si>
  <si>
    <t xml:space="preserve">طقم</t>
  </si>
  <si>
    <t xml:space="preserve">لم يُعثر على سعر منشور</t>
  </si>
  <si>
    <t xml:space="preserve">منظومة فرامل EBS/ABS وخزانات هواء</t>
  </si>
  <si>
    <t xml:space="preserve">إطار 385/55R19.5 (4 + احتياطي)</t>
  </si>
  <si>
    <t xml:space="preserve">لم يُعثر على سعر سعودي لهذا المقاس</t>
  </si>
  <si>
    <t xml:space="preserve">جنط 19.5</t>
  </si>
  <si>
    <t xml:space="preserve">تقدير</t>
  </si>
  <si>
    <t xml:space="preserve">أرجل هبوط JOST طقم</t>
  </si>
  <si>
    <t xml:space="preserve">JOST A400 طقم كامل</t>
  </si>
  <si>
    <t xml:space="preserve">https://semitrailers.net/shop/jost-complete-landing-gear-set-model-a400-g-19/</t>
  </si>
  <si>
    <t xml:space="preserve">أرجل تثبيت 10 طن بأذرع منزلقة</t>
  </si>
  <si>
    <t xml:space="preserve">كنج بن ISO 337 + لوح تقوية</t>
  </si>
  <si>
    <t xml:space="preserve">إنارة طريق 24V وتمديدات ISO 1185 ورفارف وحواجز SASO</t>
  </si>
  <si>
    <t xml:space="preserve">صناديق تخزين سفلية</t>
  </si>
  <si>
    <t xml:space="preserve">سفع رملي ودهان أساس ونهائي للشاسيه</t>
  </si>
  <si>
    <t xml:space="preserve">مقطوع</t>
  </si>
  <si>
    <t xml:space="preserve">إجمالي البند 01</t>
  </si>
  <si>
    <t xml:space="preserve">البند 02 — هيكل الصندوق والعزل والأرضية</t>
  </si>
  <si>
    <t xml:space="preserve">مواسير RHS 80×40×3 للجدران وأقواس السقف (1.29 طن + 5%)</t>
  </si>
  <si>
    <t xml:space="preserve">كالبند 01</t>
  </si>
  <si>
    <t xml:space="preserve">ساندوتش بانل صوف صخري 100 مم للجدران والسقف (91 م² + 8%)</t>
  </si>
  <si>
    <t xml:space="preserve">م²</t>
  </si>
  <si>
    <t xml:space="preserve">نطاق 100–180 ر.س/م² في السعودية؛ 16–18 دولار FOB من الصين</t>
  </si>
  <si>
    <t xml:space="preserve">https://www.alibaba.com/product-insights/sandwich-panel-price-in-saudi.html</t>
  </si>
  <si>
    <t xml:space="preserve">عزل صوف صخري إضافي 40–50 مم (إطار السقف + الأرضية)</t>
  </si>
  <si>
    <t xml:space="preserve">ألواح صوف صخري سعودية 50 مم — مدار</t>
  </si>
  <si>
    <t xml:space="preserve">https://www.madar.com/en_SA/rockwool-slab-50-x-600-x-1200mm-100kg-m3.html</t>
  </si>
  <si>
    <t xml:space="preserve">صاج مجلفن 2 مم للأرضية السفلية (471 كجم)</t>
  </si>
  <si>
    <t xml:space="preserve">بلاي وود بحري 18 مم (لوح 2.98 م²)</t>
  </si>
  <si>
    <t xml:space="preserve">لوح</t>
  </si>
  <si>
    <t xml:space="preserve">لم يُعثر على سعر سعودي منشور</t>
  </si>
  <si>
    <t xml:space="preserve">جدار حريق EI60 + جدار حجرة المولد</t>
  </si>
  <si>
    <t xml:space="preserve">قواطع داخلية 80 مم (الحمام، السيرفر، الممر)</t>
  </si>
  <si>
    <t xml:space="preserve">طلاء سقف عاكس SRI ≥ 78</t>
  </si>
  <si>
    <t xml:space="preserve">دهان خارجي أبيض عاكس</t>
  </si>
  <si>
    <t xml:space="preserve">إيبوكسي وفيبرجلاس أسفل الأرضية</t>
  </si>
  <si>
    <t xml:space="preserve">مانعات تسرب وEPDM وقواطع حرارية ومثبتات</t>
  </si>
  <si>
    <t xml:space="preserve">تصنيع وتجميع الصندوق (4 فنيين × 25 يوم)</t>
  </si>
  <si>
    <t xml:space="preserve">معدل العمالة من المدخلات</t>
  </si>
  <si>
    <t xml:space="preserve">عمالة مساعدة للصندوق</t>
  </si>
  <si>
    <t xml:space="preserve">إجمالي البند 02</t>
  </si>
  <si>
    <t xml:space="preserve">البند 03 — الأبواب والنوافذ</t>
  </si>
  <si>
    <t xml:space="preserve">D-01 باب ألمنيوم معزول ثقيل 1.10×2.10 بزجاج وPanic bar</t>
  </si>
  <si>
    <t xml:space="preserve">D-02 باب ألمنيوم معزول 1.00×2.10 بPanic bar</t>
  </si>
  <si>
    <t xml:space="preserve">D-03 باب مولد مزدوج بشرائح وبطانة صوتية</t>
  </si>
  <si>
    <t xml:space="preserve">D-04 باب فولاذي EI60</t>
  </si>
  <si>
    <t xml:space="preserve">D-05/D-06 أبواب WPC مقاومة للماء</t>
  </si>
  <si>
    <t xml:space="preserve">نظام أقفال متداخلة لبابي الحمام</t>
  </si>
  <si>
    <t xml:space="preserve">D-07 باب WPC مقاوم للحريق EI30 بغالق ذاتي</t>
  </si>
  <si>
    <t xml:space="preserve">نوافذ ألمنيوم بقاطع حراري وزجاج مزدوج Low-E (W-01..W-05)</t>
  </si>
  <si>
    <t xml:space="preserve">شتر ألمنيوم للنوافذ</t>
  </si>
  <si>
    <t xml:space="preserve">تركيب الأبواب والنوافذ</t>
  </si>
  <si>
    <t xml:space="preserve">إجمالي البند 03</t>
  </si>
  <si>
    <t xml:space="preserve">البند 04 — مصعد الكراسي والسلالم</t>
  </si>
  <si>
    <t xml:space="preserve">مصعد كراسي تحت الأرضية 350 كجم (UVL أو مكافئ)</t>
  </si>
  <si>
    <t xml:space="preserve">لا يُنشر سعر UVL؛ مصعد BraunAbility جانبي يبدأ من 6,093 دولار — UVL أعلى</t>
  </si>
  <si>
    <t xml:space="preserve">https://www.consumeraffairs.com/automotive/scooter-lifts/</t>
  </si>
  <si>
    <t xml:space="preserve">تركيب المصعد وتقوية الأرضية</t>
  </si>
  <si>
    <t xml:space="preserve">درج الجمهور المدمج + درج الموظفين القابل للطي</t>
  </si>
  <si>
    <t xml:space="preserve">سلم السطح + 3 نقاط تثبيت حزام EN 795</t>
  </si>
  <si>
    <t xml:space="preserve">إجمالي البند 04</t>
  </si>
  <si>
    <t xml:space="preserve">البند 05 — التشطيبات الداخلية والأثاث</t>
  </si>
  <si>
    <t xml:space="preserve">فينيل متجانس مضاد للكهرباء الساكنة مع النعلة (توريد وتركيب)</t>
  </si>
  <si>
    <t xml:space="preserve">فينيل متجانس من 100 درهم/م² مركّباً في الإمارات + علاوة المضاد للكهرباء الساكنة</t>
  </si>
  <si>
    <t xml:space="preserve">https://www.floorworld.com/blog-flooring-ideas-expert-advice/2017/august/homogeneous-heterogeneous-sheet-vinyl-flooring/</t>
  </si>
  <si>
    <t xml:space="preserve">تكسية جدران بلاي 9 مم + HPL/MgO 6 مم</t>
  </si>
  <si>
    <t xml:space="preserve">سقف معلق ألمنيوم/PVC</t>
  </si>
  <si>
    <t xml:space="preserve">تشطيب دورة المياه: ألواح مقاومة للماء + عزل مائي</t>
  </si>
  <si>
    <t xml:space="preserve">إكسسوارات ستانلس ومقابض للمسنين وزر استغاثة</t>
  </si>
  <si>
    <t xml:space="preserve">كاونتر خدمة بزجاج أمان مصفح 10.76 مم وفتحة مستندات</t>
  </si>
  <si>
    <t xml:space="preserve">مقاعد انتظار قابلة للطي على سكة</t>
  </si>
  <si>
    <t xml:space="preserve">كرسي طبي للموظف</t>
  </si>
  <si>
    <t xml:space="preserve">كرسي عميل</t>
  </si>
  <si>
    <t xml:space="preserve">مكتب خلفي + خزانة ملفات + مكتب نافذة الخدمة</t>
  </si>
  <si>
    <t xml:space="preserve">خزائن موظفين + خزانة طابعة</t>
  </si>
  <si>
    <t xml:space="preserve">حصيرة مدخل وزوايا حماية ومثبتات سير</t>
  </si>
  <si>
    <t xml:space="preserve">نجارة وتركيب</t>
  </si>
  <si>
    <t xml:space="preserve">إجمالي البند 05</t>
  </si>
  <si>
    <t xml:space="preserve">البند 06 — التكييف والتهوية</t>
  </si>
  <si>
    <t xml:space="preserve">مكيف سقفي RV انفرتر ≈ 3 ك.واط T3، 230V</t>
  </si>
  <si>
    <t xml:space="preserve">بين Pioneer 13,500 BTU انفرتر (1,568 دولار) وDometic FreshJet 2200 (2,435 يورو)</t>
  </si>
  <si>
    <t xml:space="preserve">https://pioneerminisplit.com/products/pioneer-13-500-btu-full-inverter-rooftop-rv-air-conditioner-heat-pump-115v</t>
  </si>
  <si>
    <t xml:space="preserve">صندوق توزيع هواء وفتحات سقف لكل مكيف</t>
  </si>
  <si>
    <t xml:space="preserve">مكيف سبليت انفرتر 9,000 BTU للسيرفر</t>
  </si>
  <si>
    <t xml:space="preserve">سبليت جري انفرتر 12,000 من 1,843 ر.س — قُدّر 9,000 بـ 1,650 شامل الضريبة</t>
  </si>
  <si>
    <t xml:space="preserve">https://www.capsulaa.sa/saudi-arabia-services/أسعار-مكيفات-جري-سبليت-في-السعودية/</t>
  </si>
  <si>
    <t xml:space="preserve">تركيب السبليت وتمديداته</t>
  </si>
  <si>
    <t xml:space="preserve">مكيف DC 48V تيليكوم 1.5 ك.واط للحجرة الفنية</t>
  </si>
  <si>
    <t xml:space="preserve">لم يُعثر على سعر منشور (Delta TCAC-1450 مكافئ)</t>
  </si>
  <si>
    <t xml:space="preserve">https://www.deltaww.com/en-US/products/cooling-telecom-power-systems/TCAC-1850-Series</t>
  </si>
  <si>
    <t xml:space="preserve">وحدة هواء نقي بفلاتر G4+F7+كربون ومروحة EC 12V</t>
  </si>
  <si>
    <t xml:space="preserve">شفاط الحمام + ديمبر بارومتري + حساسات CO₂</t>
  </si>
  <si>
    <t xml:space="preserve">متحكم Lead/Lag للسيرفر وثرموستات</t>
  </si>
  <si>
    <t xml:space="preserve">مجاري وفتحات وتصريف تكثيف وعزل</t>
  </si>
  <si>
    <t xml:space="preserve">فني تكييف</t>
  </si>
  <si>
    <t xml:space="preserve">إجمالي البند 06</t>
  </si>
  <si>
    <t xml:space="preserve">البند 07 — السباكة والمياه</t>
  </si>
  <si>
    <t xml:space="preserve">خزان PE غذائي بحواجز 500 لتر</t>
  </si>
  <si>
    <t xml:space="preserve">لم يُعثر على سعر سعودي (خزانات بحواجز مصنّعة حسب الطلب)</t>
  </si>
  <si>
    <t xml:space="preserve">خزان رمادي 300 لتر</t>
  </si>
  <si>
    <t xml:space="preserve">خزان أسود 150 لتر</t>
  </si>
  <si>
    <t xml:space="preserve">مرحاض شفط Dometic VacuFlush 5009</t>
  </si>
  <si>
    <t xml:space="preserve">قائمة أسعار Dometic</t>
  </si>
  <si>
    <t xml:space="preserve">https://dometic.com/en-us/outdoor/boat/boat-toilets/dometic-vacuflush-5009-75035</t>
  </si>
  <si>
    <t xml:space="preserve">مضخة شفط Dometic SW12</t>
  </si>
  <si>
    <t xml:space="preserve">https://www.dometic.com/en-ca/product/dometic-pump-sw12-9108554750</t>
  </si>
  <si>
    <t xml:space="preserve">خزان تفريغ الشفط وملحقاته</t>
  </si>
  <si>
    <t xml:space="preserve">تقدير — يُباع منفصلاً</t>
  </si>
  <si>
    <t xml:space="preserve">مضخة مياه متغيرة السرعة + خزان ضغط 8 لتر</t>
  </si>
  <si>
    <t xml:space="preserve">سخان فوري 3 ك.واط + مغسلة وخلاط وشطاف</t>
  </si>
  <si>
    <t xml:space="preserve">فلتر + معقم UV</t>
  </si>
  <si>
    <t xml:space="preserve">مواسير PEX وUPVC 3" ووصلات وعزل</t>
  </si>
  <si>
    <t xml:space="preserve">هرابات أرضية بكوع رائحة</t>
  </si>
  <si>
    <t xml:space="preserve">حساسات منسوب + لوحة بيان</t>
  </si>
  <si>
    <t xml:space="preserve">فتحة تعبئة مقفلة + لي 20 م + محابس تفريغ 3" وخرطوم</t>
  </si>
  <si>
    <t xml:space="preserve">سباك</t>
  </si>
  <si>
    <t xml:space="preserve">مساعد سباك</t>
  </si>
  <si>
    <t xml:space="preserve">إجمالي البند 07</t>
  </si>
  <si>
    <t xml:space="preserve">البند 08 — الكهرباء العامة</t>
  </si>
  <si>
    <t xml:space="preserve">لوحة رئيسية 100A مع RCBO/MCB/RCD وSPD وMTS ثلاثي الأوضاع</t>
  </si>
  <si>
    <t xml:space="preserve">كابل LSZH مرن 6 مم²</t>
  </si>
  <si>
    <t xml:space="preserve">كابل LSZH مرن 4 مم²</t>
  </si>
  <si>
    <t xml:space="preserve">كابل LSZH مرن 2.5 مم²</t>
  </si>
  <si>
    <t xml:space="preserve">كابل 25 مم² (مغذي رئيسي)</t>
  </si>
  <si>
    <t xml:space="preserve">قنوات ومجاري وعلب وصلات</t>
  </si>
  <si>
    <t xml:space="preserve">وحدة إنارة LED داخلية 4000K</t>
  </si>
  <si>
    <t xml:space="preserve">إنارة طوارئ ولوحات مخرج</t>
  </si>
  <si>
    <t xml:space="preserve">إنارة خارجية محيطية</t>
  </si>
  <si>
    <t xml:space="preserve">أفياش بريطانية ومفاتيح</t>
  </si>
  <si>
    <t xml:space="preserve">مدخل CEE 32A IP66 + كيبل 20 م 5G6 + بكرة</t>
  </si>
  <si>
    <t xml:space="preserve">فيش خارجي IP66 + مخرج 32A + عداد 3 فاز</t>
  </si>
  <si>
    <t xml:space="preserve">تأريض: MET وربط تساوي جهد وقضيبان نحاسيان</t>
  </si>
  <si>
    <t xml:space="preserve">مرحلات إدارة الأحمال والتحكم الذكي</t>
  </si>
  <si>
    <t xml:space="preserve">كهربائي</t>
  </si>
  <si>
    <t xml:space="preserve">مساعد كهربائي</t>
  </si>
  <si>
    <t xml:space="preserve">إجمالي البند 08</t>
  </si>
  <si>
    <t xml:space="preserve">البند 09 — المولد الصامت</t>
  </si>
  <si>
    <t xml:space="preserve">مولد ديزل صامت أحادي الطور ≈ 5.5 ك.واط (Pramac S65000 أو مكافئ)</t>
  </si>
  <si>
    <t xml:space="preserve">Pramac 5.3 ك.واط أحادي الطور 3,112.50 يورو قبل الضريبة</t>
  </si>
  <si>
    <t xml:space="preserve">https://autosolar.es/generadores-diesel/generador-diesel-electrico-53-kw-s65000-conn-dpp-monofasico-pramac</t>
  </si>
  <si>
    <t xml:space="preserve">بطانة صوتية + صينية منزلقة + مخمدات</t>
  </si>
  <si>
    <t xml:space="preserve">عادم ستانلس مرن + كاتم مزدوج</t>
  </si>
  <si>
    <t xml:space="preserve">خزان وقود إضافي 60 لتر + مضخة نقل وخطوط</t>
  </si>
  <si>
    <t xml:space="preserve">تركيب وتشغيل المولد</t>
  </si>
  <si>
    <t xml:space="preserve">إجمالي البند 09</t>
  </si>
  <si>
    <t xml:space="preserve">البند 10 — التخزين والتحويل (انفرتر وبطاريات)</t>
  </si>
  <si>
    <t xml:space="preserve">انفرتر/شاحن Victron Quattro 48/10000/140 (230V)</t>
  </si>
  <si>
    <t xml:space="preserve">Solar Electric — طراز 230V</t>
  </si>
  <si>
    <t xml:space="preserve">https://www.solar-electric.com/victron-energy-quattro-inverter-48-10000-140-230vac.html</t>
  </si>
  <si>
    <t xml:space="preserve">بطارية LiFePO4 51.2V/314Ah (16 ك.واط.س) بشهادات UN38.3/IEC 62619</t>
  </si>
  <si>
    <t xml:space="preserve">Ruixu Lithi2-16 لدى موزع أمريكي</t>
  </si>
  <si>
    <t xml:space="preserve">https://muhammed.portlandiaelectric.supply/products/ruixu-lithi2-16-51-2v-314ah-16kwh-lifepo4-battery</t>
  </si>
  <si>
    <t xml:space="preserve">خزانة بطاريات فولاذية بأحزمة</t>
  </si>
  <si>
    <t xml:space="preserve">Victron Cerbo GX (قبل الضريبة)</t>
  </si>
  <si>
    <t xml:space="preserve">320.65 يورو شامل الضريبة الفرنسية</t>
  </si>
  <si>
    <t xml:space="preserve">https://www.wattuneed.com/fr/controleurs-de-charge-victron/25806-victron-cerbo-gx-centre-de-communication-et-de-supervision-0768563819339.html</t>
  </si>
  <si>
    <t xml:space="preserve">شاشة GX Touch 70</t>
  </si>
  <si>
    <t xml:space="preserve">Signature Solar</t>
  </si>
  <si>
    <t xml:space="preserve">https://signaturesolar.com/victron-energy/?page=2</t>
  </si>
  <si>
    <t xml:space="preserve">Victron Lynx Distributor</t>
  </si>
  <si>
    <t xml:space="preserve">eBay</t>
  </si>
  <si>
    <t xml:space="preserve">https://ebay.com/usr/lithium_upgrade</t>
  </si>
  <si>
    <t xml:space="preserve">Lynx Class-T Power In + فيوزات 315A</t>
  </si>
  <si>
    <t xml:space="preserve">eBay UK (المدخل) — الفيوزات تقدير</t>
  </si>
  <si>
    <t xml:space="preserve">https://www.ebay.co.uk/str/meadotechcontrols</t>
  </si>
  <si>
    <t xml:space="preserve">قاطع DC 250A لكل بطارية</t>
  </si>
  <si>
    <t xml:space="preserve">محول Orion-Tr 48/12-30 معزول</t>
  </si>
  <si>
    <t xml:space="preserve">Navstore</t>
  </si>
  <si>
    <t xml:space="preserve">https://navstore.com/collections/victron-energy</t>
  </si>
  <si>
    <t xml:space="preserve">كابل 95 مم² + أطراف</t>
  </si>
  <si>
    <t xml:space="preserve">مروحة طرد 48V + ثرموستات</t>
  </si>
  <si>
    <t xml:space="preserve">برمجة وتشغيل منظومة Victron</t>
  </si>
  <si>
    <t xml:space="preserve">كهربائي منظومات طاقة</t>
  </si>
  <si>
    <t xml:space="preserve">إجمالي البند 10</t>
  </si>
  <si>
    <t xml:space="preserve">البند 11 — النظام الشمسي</t>
  </si>
  <si>
    <t xml:space="preserve">لوح شمسي N-type TOPCon 600W</t>
  </si>
  <si>
    <t xml:space="preserve">منظم Victron SmartSolar MPPT 250/60 (قبل الضريبة)</t>
  </si>
  <si>
    <t xml:space="preserve">456.52 يورو شامل الضريبة الألمانية</t>
  </si>
  <si>
    <t xml:space="preserve">https://lifepo4.com.au/shop/solar/solarcharrgecontrollers/victron-solarchargecontrollers/victron-smartsolar-mppt-250-60-tr</t>
  </si>
  <si>
    <t xml:space="preserve">جهاز فصل سريع Tigo TS4-A-F</t>
  </si>
  <si>
    <t xml:space="preserve">Solar Cell Z</t>
  </si>
  <si>
    <t xml:space="preserve">https://store.solarcellzusa.com/products/tigo-energy-ts4-a-f-rapid-shutdown-receiver</t>
  </si>
  <si>
    <t xml:space="preserve">مرسل Tigo RSS</t>
  </si>
  <si>
    <t xml:space="preserve">سكك ألمنيوم ومشابك وأقدام L وعاكس هوائي وتنورة جانبية</t>
  </si>
  <si>
    <t xml:space="preserve">كابل H1Z2Z2-K 6 مم²</t>
  </si>
  <si>
    <t xml:space="preserve">عوازل DC + SPD DC + عوازل اختراق السطح</t>
  </si>
  <si>
    <t xml:space="preserve">أزرار طوارئ ×3 + ملف فصل</t>
  </si>
  <si>
    <t xml:space="preserve">تركيب الألواح</t>
  </si>
  <si>
    <t xml:space="preserve">إجمالي البند 11</t>
  </si>
  <si>
    <t xml:space="preserve">البند 12 — UPS</t>
  </si>
  <si>
    <t xml:space="preserve">APC Smart-UPS SRT 1500VA أونلاين (SRT1500XLI)</t>
  </si>
  <si>
    <t xml:space="preserve">متجر Schneider السعودي — قبل الضريبة</t>
  </si>
  <si>
    <t xml:space="preserve">https://eshop.se.com/sa/apc-smart-ups-on-line-1500va-1500w-tower-230v-6x-c13-iec-outlets-smartslot-extended-runtime-w-o-rail-kit-srt1500xli.html</t>
  </si>
  <si>
    <t xml:space="preserve">حزمة بطاريات إضافية EBM</t>
  </si>
  <si>
    <t xml:space="preserve">تركيب وبطاقة شبكة SNMP</t>
  </si>
  <si>
    <t xml:space="preserve">إجمالي البند 12</t>
  </si>
  <si>
    <t xml:space="preserve">البند 13 — التيار الخفيف والشبكات والأمن</t>
  </si>
  <si>
    <t xml:space="preserve">راك 24U 600×600 بعوازل اهتزاز</t>
  </si>
  <si>
    <t xml:space="preserve">PDU مُدار</t>
  </si>
  <si>
    <t xml:space="preserve">جدار ناري FortiGate 60F + اشتراك UTP سنة</t>
  </si>
  <si>
    <t xml:space="preserve">Datacenter360</t>
  </si>
  <si>
    <t xml:space="preserve">https://datacenter360.ca/store/?p=21334</t>
  </si>
  <si>
    <t xml:space="preserve">سويتش Cisco CBS350-24FP-4G PoE+</t>
  </si>
  <si>
    <t xml:space="preserve">SHI</t>
  </si>
  <si>
    <t xml:space="preserve">https://www.shi.com/Product/40716112</t>
  </si>
  <si>
    <t xml:space="preserve">راوتر 5G Teltonika RUTX50</t>
  </si>
  <si>
    <t xml:space="preserve">Mouser (عبر نتائج البحث)</t>
  </si>
  <si>
    <t xml:space="preserve">https://serverroomenvironments.co.uk/teltonika-rutx50-industrial-5g-routers</t>
  </si>
  <si>
    <t xml:space="preserve">هوائيات MIMO خارجية</t>
  </si>
  <si>
    <t xml:space="preserve">طرفية اتصال فضائي LEO مرخّص (عتاد)</t>
  </si>
  <si>
    <t xml:space="preserve">تقدير تكلفة Starlink في السعودية</t>
  </si>
  <si>
    <t xml:space="preserve">https://satspeedcheck.com/cost/saudi-arabia/</t>
  </si>
  <si>
    <t xml:space="preserve">نقطة وصول Cisco CW9176I</t>
  </si>
  <si>
    <t xml:space="preserve">Hummingbird Networks</t>
  </si>
  <si>
    <t xml:space="preserve">https://www.hummingbirdnetworks.com/cw9176-series-1/</t>
  </si>
  <si>
    <t xml:space="preserve">NVR Hikvision 8 قنوات PoE</t>
  </si>
  <si>
    <t xml:space="preserve">متجر ابتكار</t>
  </si>
  <si>
    <t xml:space="preserve">https://store.ibtikar.com.sa/en/product/hikvision-ds-7608ni-q1/</t>
  </si>
  <si>
    <t xml:space="preserve">قرص مراقبة 4TB</t>
  </si>
  <si>
    <t xml:space="preserve">كاميرا خارجية بانورامية 180°</t>
  </si>
  <si>
    <t xml:space="preserve">كاميرا داخلية 360°</t>
  </si>
  <si>
    <t xml:space="preserve">لوحة تحكم دخول ZKTeco 4 أبواب</t>
  </si>
  <si>
    <t xml:space="preserve">ID Enhancements</t>
  </si>
  <si>
    <t xml:space="preserve">https://id-enhancements.com/zkteco-atlas460-four-door-atlas-series-access-control-panel</t>
  </si>
  <si>
    <t xml:space="preserve">قارئ بطاقة + لوحة مفاتيح</t>
  </si>
  <si>
    <t xml:space="preserve">Neotech الإمارات</t>
  </si>
  <si>
    <t xml:space="preserve">https://neotech.ae/products/zkteco-kr502e-proximity-with-keypad-access-card-reader</t>
  </si>
  <si>
    <t xml:space="preserve">أقفال مغناطيسية وأزرار خروج وكاسر زجاج</t>
  </si>
  <si>
    <t xml:space="preserve">إنذار سرقة: لوحة + حساسات + صفارة + حساس ميلان</t>
  </si>
  <si>
    <t xml:space="preserve">جهاز تتبع GPS معتمد مع اشتراك سنة</t>
  </si>
  <si>
    <t xml:space="preserve">4 كاميرات قيادة + شاشة 7" 24V</t>
  </si>
  <si>
    <t xml:space="preserve">كابلات Cat6 LSZH</t>
  </si>
  <si>
    <t xml:space="preserve">نقاط شبكة ولوحة توصيل</t>
  </si>
  <si>
    <t xml:space="preserve">نقطة</t>
  </si>
  <si>
    <t xml:space="preserve">حساسات ذكية وجودة هواء وحرارة/تسرب للراك</t>
  </si>
  <si>
    <t xml:space="preserve">فني شبكات وأمن</t>
  </si>
  <si>
    <t xml:space="preserve">تهيئة الشبكة وضوابط NCA ECC</t>
  </si>
  <si>
    <t xml:space="preserve">إجمالي البند 13</t>
  </si>
  <si>
    <t xml:space="preserve">البند 14 — إدارة الأدوار وأجهزة تقنية المعلومات</t>
  </si>
  <si>
    <t xml:space="preserve">نظام أدوار لنافذتين (عتاد أساسي)</t>
  </si>
  <si>
    <t xml:space="preserve">OSCAR لنافذتين — كارفور الإمارات (4,489 درهم شامل الضريبة)</t>
  </si>
  <si>
    <t xml:space="preserve">https://www.carrefouruae.com/mafuae/en/educational/oscar-queue-management-system-for-2-counters-with-main-display/p/6970961140692</t>
  </si>
  <si>
    <t xml:space="preserve">كشك لمسي بطابعة تذاكر واستبيان رضا</t>
  </si>
  <si>
    <t xml:space="preserve">تكامل نظام الأدوار مع أنظمة الشركة</t>
  </si>
  <si>
    <t xml:space="preserve">شاشة تجارية Samsung 65" QMC</t>
  </si>
  <si>
    <t xml:space="preserve">Sharaf DG (2,990 شامل الضريبة)</t>
  </si>
  <si>
    <t xml:space="preserve">https://uae.sharafdg.com/ar/?p=5250236</t>
  </si>
  <si>
    <t xml:space="preserve">حامل شاشة بقفل سير + شاشات نداء وسماعات</t>
  </si>
  <si>
    <t xml:space="preserve">لابتوب Dell Latitude 5450 Ultra 7 16/512</t>
  </si>
  <si>
    <t xml:space="preserve">ابتكار — 4,940 ر.س شامل الضريبة</t>
  </si>
  <si>
    <t xml:space="preserve">https://store.ibtikar.com.sa/en/product-tag/intel-ultra-7-155u/</t>
  </si>
  <si>
    <t xml:space="preserve">دوك + شاشة 24" لكل محطة</t>
  </si>
  <si>
    <t xml:space="preserve">طابعة HP Color LaserJet Pro MFP 4303fdw</t>
  </si>
  <si>
    <t xml:space="preserve">متجر HP السعودي — 2,199 ر.س شامل الضريبة</t>
  </si>
  <si>
    <t xml:space="preserve">https://www.hp.com/sa-ar/shop/printers/business-printers/color-laserjets.html</t>
  </si>
  <si>
    <t xml:space="preserve">تهيئة الأجهزة وتركيبها</t>
  </si>
  <si>
    <t xml:space="preserve">إجمالي البند 14</t>
  </si>
  <si>
    <t xml:space="preserve">البند 15 — الشاشة الخارجية LED</t>
  </si>
  <si>
    <t xml:space="preserve">شاشة LED خارجية P4–P5 ≥ 6,500 nits (كبائن)</t>
  </si>
  <si>
    <t xml:space="preserve">دليل 2026: 800–1,800 دولار/م² للخارجية عالية السطوع؛ بريطانيا 2,500–4,000 جنيه/م²</t>
  </si>
  <si>
    <t xml:space="preserve">https://dynamo-led-displays.co.uk/how-much-led-display-cost/</t>
  </si>
  <si>
    <t xml:space="preserve">متحكم ومشغل 4G وحساس سطوع</t>
  </si>
  <si>
    <t xml:space="preserve">إطار فولاذي + حاجب علوي + قفل سير</t>
  </si>
  <si>
    <t xml:space="preserve">تغذية وحماية وتمديدات</t>
  </si>
  <si>
    <t xml:space="preserve">تركيب ومعايرة</t>
  </si>
  <si>
    <t xml:space="preserve">إجمالي البند 15</t>
  </si>
  <si>
    <t xml:space="preserve">البند 16 — السلامة والإطفاء</t>
  </si>
  <si>
    <t xml:space="preserve">نظام غاز نظيف FK-5-1-12 للسيرفر (أسطوانة ≈ 4.5 كجم + كشف متقاطع + لوحة تحرير + اختبار إحكام)</t>
  </si>
  <si>
    <t xml:space="preserve">لم يُعثر على سعر منشور لنظام صغير</t>
  </si>
  <si>
    <t xml:space="preserve">مولد أيروسول تلقائي (البطاريات، المولد، احتياطي)</t>
  </si>
  <si>
    <t xml:space="preserve">أنبوب كشف وإطفاء ذاتي (MDB + الراك)</t>
  </si>
  <si>
    <t xml:space="preserve">لوحة إنذار حريق 4 مناطق C-TEC CFP</t>
  </si>
  <si>
    <t xml:space="preserve">Safelincs قبل الضريبة</t>
  </si>
  <si>
    <t xml:space="preserve">https://www.safelincs.co.uk/cfp-alarmsense-4-zone-fire-alarm-panel</t>
  </si>
  <si>
    <t xml:space="preserve">كواشف دخان وحرارة</t>
  </si>
  <si>
    <t xml:space="preserve">كاشف غازات انبعاث الليثيوم</t>
  </si>
  <si>
    <t xml:space="preserve">صفارات/وميض وكاسرات زجاج</t>
  </si>
  <si>
    <t xml:space="preserve">طفايات: رذاذ مائي 6 ل و1 ل، CO₂ 2 كجم ×3، بودرة 6 و12 كجم</t>
  </si>
  <si>
    <t xml:space="preserve">CO₂ 2 كجم بـ 89 درهم في الإمارات؛ الباقي تقدير</t>
  </si>
  <si>
    <t xml:space="preserve">https://www.firesupplies.ae/product/mega-safety-2-kg-co2-fire-extinguisher/</t>
  </si>
  <si>
    <t xml:space="preserve">طفاية AVD 9 لتر لبطاريات الليثيوم</t>
  </si>
  <si>
    <t xml:space="preserve">لوحات إرشادية + إسعافات أولية + غسيل عيون</t>
  </si>
  <si>
    <t xml:space="preserve">تركيب وتشغيل من مقاول معتمد من الدفاع المدني</t>
  </si>
  <si>
    <t xml:space="preserve">إجمالي البند 16</t>
  </si>
  <si>
    <t xml:space="preserve">البند 17 — الهوية البصرية والمظلة</t>
  </si>
  <si>
    <t xml:space="preserve">تغليف فينيل مطبوع بحماية UV (توريد وتركيب)</t>
  </si>
  <si>
    <t xml:space="preserve">مظلة كاسيت كهربائية 3.5×2.5 م</t>
  </si>
  <si>
    <t xml:space="preserve">ManoMano (1,833.99 شامل الضريبة)</t>
  </si>
  <si>
    <t xml:space="preserve">https://www.manomano.co.uk/p/greenbay-sun-shade-retractable-canopy-full-cassette-electric-awning-35x25m-wine-red-70286331</t>
  </si>
  <si>
    <t xml:space="preserve">حساس رياح للمظلة</t>
  </si>
  <si>
    <t xml:space="preserve">Bunnings</t>
  </si>
  <si>
    <t xml:space="preserve">https://bunnings.com.au/_p0557764</t>
  </si>
  <si>
    <t xml:space="preserve">تقوية تثبيت المظلة</t>
  </si>
  <si>
    <t xml:space="preserve">لوحات مضيئة (الفرع + المدخلين)</t>
  </si>
  <si>
    <t xml:space="preserve">إجمالي البند 17</t>
  </si>
  <si>
    <t xml:space="preserve">البند 18 — التصميم والاعتمادات والاختبارات والنقل</t>
  </si>
  <si>
    <t xml:space="preserve">تصميم تفصيلي واعتماد مكتب هندسي (إنشائي، كهروميكانيك، حريق)</t>
  </si>
  <si>
    <t xml:space="preserve">تسجيل ولوحات وVIN وفحص فني أولي</t>
  </si>
  <si>
    <t xml:space="preserve">رسوم فحص الشاحنة الكبيرة 235.75 ر.س + رخصة سير النقل 200 ر.س</t>
  </si>
  <si>
    <t xml:space="preserve">https://ksa.motory.com/ar/%D8%A7%D9%84%D8%A7%D8%AE%D8%A8%D8%A7%D8%B1/%D9%81%D8%AD%D8%B5-%D9%81%D9%86%D9%8A-%D8%AF%D9%88%D8%B1%D9%8A-%D8%B3%D9%8A%D8%A7%D8%B1%D8%A7%D8%AA-%D8%A7%D9%84%D8%B3%D8%B9%D9%88%D8%AF%D9%8A%D8%A9/</t>
  </si>
  <si>
    <t xml:space="preserve">شهادات مطابقة SASO/SABER</t>
  </si>
  <si>
    <t xml:space="preserve">اختبارات FAT ووزن المحاور واختبار الأمطار</t>
  </si>
  <si>
    <t xml:space="preserve">نقل المقطورة إلى موقع التسليم في الرياض</t>
  </si>
  <si>
    <t xml:space="preserve">إجمالي البند 18</t>
  </si>
  <si>
    <t xml:space="preserve">إجمالي التكلفة المباشرة</t>
  </si>
  <si>
    <t xml:space="preserve">العدد</t>
  </si>
  <si>
    <t xml:space="preserve">التكلفة الشهرية (ر.س)</t>
  </si>
  <si>
    <t xml:space="preserve">المدة (شهر)</t>
  </si>
  <si>
    <t xml:space="preserve">مبلغ مقطوع (ر.س)</t>
  </si>
  <si>
    <t xml:space="preserve">مدير مشروع (نصف دوام) — افتراض</t>
  </si>
  <si>
    <t xml:space="preserve">مهندس مشروع/ورشة متفرغ — افتراض</t>
  </si>
  <si>
    <t xml:space="preserve">مراقب جودة وسلامة (نصف دوام) — افتراض</t>
  </si>
  <si>
    <t xml:space="preserve">مشتريات ولوجستيات (نصف دوام) — افتراض</t>
  </si>
  <si>
    <t xml:space="preserve">حصة الورشة والمرافق والرافعات — افتراض</t>
  </si>
  <si>
    <t xml:space="preserve">تشغيل تجريبي 72 ساعة: وقود ومستهلكات — افتراض</t>
  </si>
  <si>
    <t xml:space="preserve">تدريب موظفي العميل وأدلة التشغيل والصيانة — افتراض</t>
  </si>
  <si>
    <t xml:space="preserve">البنود الاختيارية (خارج إجمالي العرض)</t>
  </si>
  <si>
    <t xml:space="preserve">معامل الإضافات = (1 + عامة + تمويل + ضمانات + طوارئ) × (1 + ربح)، دون مصاريف المشروع لأنها مغطاة في العرض الأساسي.</t>
  </si>
  <si>
    <t xml:space="preserve">معامل البنود الاختيارية</t>
  </si>
  <si>
    <t xml:space="preserve">السعر في العرض (ر.س)</t>
  </si>
  <si>
    <t xml:space="preserve">خ-1</t>
  </si>
  <si>
    <t xml:space="preserve">استبدال المولد بمولد صامت 10 ك.ف.أ (الفرق فقط)</t>
  </si>
  <si>
    <t xml:space="preserve">مولد 10 ك.ف.أ من الفئة نفسها ≈ 4,800 يورو (افتراض) ناقص المولد الأساسي 3,112.50 يورو، + 2,500 ر.س تعديل الحجرة والكابلات</t>
  </si>
  <si>
    <t xml:space="preserve">خ-2</t>
  </si>
  <si>
    <t xml:space="preserve">مكيف سقفي RV انفرتر إضافي لمنطقة الموظفين</t>
  </si>
  <si>
    <t xml:space="preserve">سعر المكيف وصندوق التوزيع نفسه في البند 06 + يوما تركيب + 600 ر.س تمديدات وقاطع</t>
  </si>
  <si>
    <t xml:space="preserve">خ-3</t>
  </si>
  <si>
    <t xml:space="preserve">عزل حراري للأرضية</t>
  </si>
  <si>
    <t xml:space="preserve">—</t>
  </si>
  <si>
    <t xml:space="preserve">مشمول في البند 02 (صوف صخري 50 مم)</t>
  </si>
  <si>
    <t xml:space="preserve">خ-4أ</t>
  </si>
  <si>
    <t xml:space="preserve">لابتوب Dell Latitude 5450 Ultra 7 16/512 مع التهيئة</t>
  </si>
  <si>
    <t xml:space="preserve">ابتكار 4,940 ر.س شامل الضريبة + 150 ر.س تهيئة</t>
  </si>
  <si>
    <t xml:space="preserve">خ-4ب</t>
  </si>
  <si>
    <t xml:space="preserve">تابلت Samsung Galaxy Tab S11 5G</t>
  </si>
  <si>
    <t xml:space="preserve">سعر الإطلاق الأوروبي 1,049 يورو شامل ضريبة ≈ 20% — يُؤكد من جرير أو إكسترا</t>
  </si>
  <si>
    <t xml:space="preserve">خ-4ج</t>
  </si>
  <si>
    <t xml:space="preserve">نقطة وصول Cisco CW9176I مع التركيب والتهيئة (دون تراخيص الاشتراك)</t>
  </si>
  <si>
    <t xml:space="preserve">Hummingbird Networks 1,505.37 دولار + معامل الاستيراد + 300 ر.س تركيب</t>
  </si>
  <si>
    <t xml:space="preserve">مصادر الأسعار (تمت مراجعتها في 21/10/2026)</t>
  </si>
  <si>
    <t xml:space="preserve">المصدر</t>
  </si>
  <si>
    <t xml:space="preserve">ملاحظة: لم تُفتح صفحات المواقع الحكومية والمتاجر مباشرة لأن الشبكة تحجبها؛ الأسعار مأخوذة من نتائج محركات البحث وتُؤكد بعروض موردين قبل التسليم.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</si>
</sst>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;\(0.0%\);\-"/>
    <numFmt numFmtId="167" formatCode="0.0000"/>
    <numFmt numFmtId="168" formatCode="#,##0;\(#,##0\);\-"/>
    <numFmt numFmtId="169" formatCode="0.0%"/>
    <numFmt numFmtId="170" formatCode="#,##0.##"/>
    <numFmt numFmtId="171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new.aisusteel.org/archives/3349" TargetMode="External"/><Relationship Id="rId2" Type="http://schemas.openxmlformats.org/officeDocument/2006/relationships/hyperlink" Target="https://saudiarabia.paylab.com/salaryinfo/mechanical-engineering/welder" TargetMode="External"/><Relationship Id="rId3" Type="http://schemas.openxmlformats.org/officeDocument/2006/relationships/hyperlink" Target="https://saudiarabia.paylab.com/salaryinfo/mechanical-engineering/welder" TargetMode="External"/><Relationship Id="rId4" Type="http://schemas.openxmlformats.org/officeDocument/2006/relationships/hyperlink" Target="https://semitrailers.net/shop/jost-complete-landing-gear-set-model-a400-g-19/" TargetMode="External"/><Relationship Id="rId5" Type="http://schemas.openxmlformats.org/officeDocument/2006/relationships/hyperlink" Target="https://new.aisusteel.org/archives/3349" TargetMode="External"/><Relationship Id="rId6" Type="http://schemas.openxmlformats.org/officeDocument/2006/relationships/hyperlink" Target="https://www.alibaba.com/product-insights/sandwich-panel-price-in-saudi.html" TargetMode="External"/><Relationship Id="rId7" Type="http://schemas.openxmlformats.org/officeDocument/2006/relationships/hyperlink" Target="https://www.madar.com/en_SA/rockwool-slab-50-x-600-x-1200mm-100kg-m3.html" TargetMode="External"/><Relationship Id="rId8" Type="http://schemas.openxmlformats.org/officeDocument/2006/relationships/hyperlink" Target="https://saudiarabia.paylab.com/salaryinfo/mechanical-engineering/welder" TargetMode="External"/><Relationship Id="rId9" Type="http://schemas.openxmlformats.org/officeDocument/2006/relationships/hyperlink" Target="https://saudiarabia.paylab.com/salaryinfo/mechanical-engineering/welder" TargetMode="External"/><Relationship Id="rId10" Type="http://schemas.openxmlformats.org/officeDocument/2006/relationships/hyperlink" Target="https://saudiarabia.paylab.com/salaryinfo/mechanical-engineering/welder" TargetMode="External"/><Relationship Id="rId11" Type="http://schemas.openxmlformats.org/officeDocument/2006/relationships/hyperlink" Target="https://www.consumeraffairs.com/automotive/scooter-lifts/" TargetMode="External"/><Relationship Id="rId12" Type="http://schemas.openxmlformats.org/officeDocument/2006/relationships/hyperlink" Target="https://saudiarabia.paylab.com/salaryinfo/mechanical-engineering/welder" TargetMode="External"/><Relationship Id="rId13" Type="http://schemas.openxmlformats.org/officeDocument/2006/relationships/hyperlink" Target="https://www.floorworld.com/blog-flooring-ideas-expert-advice/2017/august/homogeneous-heterogeneous-sheet-vinyl-flooring/" TargetMode="External"/><Relationship Id="rId14" Type="http://schemas.openxmlformats.org/officeDocument/2006/relationships/hyperlink" Target="https://saudiarabia.paylab.com/salaryinfo/mechanical-engineering/welder" TargetMode="External"/><Relationship Id="rId15" Type="http://schemas.openxmlformats.org/officeDocument/2006/relationships/hyperlink" Target="https://pioneerminisplit.com/products/pioneer-13-500-btu-full-inverter-rooftop-rv-air-conditioner-heat-pump-115v" TargetMode="External"/><Relationship Id="rId16" Type="http://schemas.openxmlformats.org/officeDocument/2006/relationships/hyperlink" Target="https://www.capsulaa.sa/saudi-arabia-services/&#1571;&#1587;&#1593;&#1575;&#1585;-&#1605;&#1603;&#1610;&#1601;&#1575;&#1578;-&#1580;&#1585;&#1610;-&#1587;&#1576;&#1604;&#1610;&#1578;-&#1601;&#1610;-&#1575;&#1604;&#1587;&#1593;&#1608;&#1583;&#1610;&#1577;/" TargetMode="External"/><Relationship Id="rId17" Type="http://schemas.openxmlformats.org/officeDocument/2006/relationships/hyperlink" Target="https://www.deltaww.com/en-US/products/cooling-telecom-power-systems/TCAC-1850-Series" TargetMode="External"/><Relationship Id="rId18" Type="http://schemas.openxmlformats.org/officeDocument/2006/relationships/hyperlink" Target="https://saudiarabia.paylab.com/salaryinfo/mechanical-engineering/welder" TargetMode="External"/><Relationship Id="rId19" Type="http://schemas.openxmlformats.org/officeDocument/2006/relationships/hyperlink" Target="https://dometic.com/en-us/outdoor/boat/boat-toilets/dometic-vacuflush-5009-75035" TargetMode="External"/><Relationship Id="rId20" Type="http://schemas.openxmlformats.org/officeDocument/2006/relationships/hyperlink" Target="https://www.dometic.com/en-ca/product/dometic-pump-sw12-9108554750" TargetMode="External"/><Relationship Id="rId21" Type="http://schemas.openxmlformats.org/officeDocument/2006/relationships/hyperlink" Target="https://saudiarabia.paylab.com/salaryinfo/mechanical-engineering/welder" TargetMode="External"/><Relationship Id="rId22" Type="http://schemas.openxmlformats.org/officeDocument/2006/relationships/hyperlink" Target="https://saudiarabia.paylab.com/salaryinfo/mechanical-engineering/welder" TargetMode="External"/><Relationship Id="rId23" Type="http://schemas.openxmlformats.org/officeDocument/2006/relationships/hyperlink" Target="https://saudiarabia.paylab.com/salaryinfo/mechanical-engineering/welder" TargetMode="External"/><Relationship Id="rId24" Type="http://schemas.openxmlformats.org/officeDocument/2006/relationships/hyperlink" Target="https://saudiarabia.paylab.com/salaryinfo/mechanical-engineering/welder" TargetMode="External"/><Relationship Id="rId25" Type="http://schemas.openxmlformats.org/officeDocument/2006/relationships/hyperlink" Target="https://autosolar.es/generadores-diesel/generador-diesel-electrico-53-kw-s65000-conn-dpp-monofasico-pramac" TargetMode="External"/><Relationship Id="rId26" Type="http://schemas.openxmlformats.org/officeDocument/2006/relationships/hyperlink" Target="https://saudiarabia.paylab.com/salaryinfo/mechanical-engineering/welder" TargetMode="External"/><Relationship Id="rId27" Type="http://schemas.openxmlformats.org/officeDocument/2006/relationships/hyperlink" Target="https://www.solar-electric.com/victron-energy-quattro-inverter-48-10000-140-230vac.html" TargetMode="External"/><Relationship Id="rId28" Type="http://schemas.openxmlformats.org/officeDocument/2006/relationships/hyperlink" Target="https://muhammed.portlandiaelectric.supply/products/ruixu-lithi2-16-51-2v-314ah-16kwh-lifepo4-battery" TargetMode="External"/><Relationship Id="rId29" Type="http://schemas.openxmlformats.org/officeDocument/2006/relationships/hyperlink" Target="https://www.wattuneed.com/fr/controleurs-de-charge-victron/25806-victron-cerbo-gx-centre-de-communication-et-de-supervision-0768563819339.html" TargetMode="External"/><Relationship Id="rId30" Type="http://schemas.openxmlformats.org/officeDocument/2006/relationships/hyperlink" Target="https://signaturesolar.com/victron-energy/?page=2" TargetMode="External"/><Relationship Id="rId31" Type="http://schemas.openxmlformats.org/officeDocument/2006/relationships/hyperlink" Target="https://ebay.com/usr/lithium_upgrade" TargetMode="External"/><Relationship Id="rId32" Type="http://schemas.openxmlformats.org/officeDocument/2006/relationships/hyperlink" Target="https://www.ebay.co.uk/str/meadotechcontrols" TargetMode="External"/><Relationship Id="rId33" Type="http://schemas.openxmlformats.org/officeDocument/2006/relationships/hyperlink" Target="https://navstore.com/collections/victron-energy" TargetMode="External"/><Relationship Id="rId34" Type="http://schemas.openxmlformats.org/officeDocument/2006/relationships/hyperlink" Target="https://saudiarabia.paylab.com/salaryinfo/mechanical-engineering/welder" TargetMode="External"/><Relationship Id="rId35" Type="http://schemas.openxmlformats.org/officeDocument/2006/relationships/hyperlink" Target="https://lifepo4.com.au/shop/solar/solarcharrgecontrollers/victron-solarchargecontrollers/victron-smartsolar-mppt-250-60-tr" TargetMode="External"/><Relationship Id="rId36" Type="http://schemas.openxmlformats.org/officeDocument/2006/relationships/hyperlink" Target="https://store.solarcellzusa.com/products/tigo-energy-ts4-a-f-rapid-shutdown-receiver" TargetMode="External"/><Relationship Id="rId37" Type="http://schemas.openxmlformats.org/officeDocument/2006/relationships/hyperlink" Target="https://saudiarabia.paylab.com/salaryinfo/mechanical-engineering/welder" TargetMode="External"/><Relationship Id="rId38" Type="http://schemas.openxmlformats.org/officeDocument/2006/relationships/hyperlink" Target="https://eshop.se.com/sa/apc-smart-ups-on-line-1500va-1500w-tower-230v-6x-c13-iec-outlets-smartslot-extended-runtime-w-o-rail-kit-srt1500xli.html" TargetMode="External"/><Relationship Id="rId39" Type="http://schemas.openxmlformats.org/officeDocument/2006/relationships/hyperlink" Target="https://datacenter360.ca/store/?p=21334" TargetMode="External"/><Relationship Id="rId40" Type="http://schemas.openxmlformats.org/officeDocument/2006/relationships/hyperlink" Target="https://www.shi.com/Product/40716112" TargetMode="External"/><Relationship Id="rId41" Type="http://schemas.openxmlformats.org/officeDocument/2006/relationships/hyperlink" Target="https://serverroomenvironments.co.uk/teltonika-rutx50-industrial-5g-routers" TargetMode="External"/><Relationship Id="rId42" Type="http://schemas.openxmlformats.org/officeDocument/2006/relationships/hyperlink" Target="https://satspeedcheck.com/cost/saudi-arabia/" TargetMode="External"/><Relationship Id="rId43" Type="http://schemas.openxmlformats.org/officeDocument/2006/relationships/hyperlink" Target="https://www.hummingbirdnetworks.com/cw9176-series-1/" TargetMode="External"/><Relationship Id="rId44" Type="http://schemas.openxmlformats.org/officeDocument/2006/relationships/hyperlink" Target="https://store.ibtikar.com.sa/en/product/hikvision-ds-7608ni-q1/" TargetMode="External"/><Relationship Id="rId45" Type="http://schemas.openxmlformats.org/officeDocument/2006/relationships/hyperlink" Target="https://id-enhancements.com/zkteco-atlas460-four-door-atlas-series-access-control-panel" TargetMode="External"/><Relationship Id="rId46" Type="http://schemas.openxmlformats.org/officeDocument/2006/relationships/hyperlink" Target="https://neotech.ae/products/zkteco-kr502e-proximity-with-keypad-access-card-reader" TargetMode="External"/><Relationship Id="rId47" Type="http://schemas.openxmlformats.org/officeDocument/2006/relationships/hyperlink" Target="https://saudiarabia.paylab.com/salaryinfo/mechanical-engineering/welder" TargetMode="External"/><Relationship Id="rId48" Type="http://schemas.openxmlformats.org/officeDocument/2006/relationships/hyperlink" Target="https://www.carrefouruae.com/mafuae/en/educational/oscar-queue-management-system-for-2-counters-with-main-display/p/6970961140692" TargetMode="External"/><Relationship Id="rId49" Type="http://schemas.openxmlformats.org/officeDocument/2006/relationships/hyperlink" Target="https://uae.sharafdg.com/ar/?p=5250236" TargetMode="External"/><Relationship Id="rId50" Type="http://schemas.openxmlformats.org/officeDocument/2006/relationships/hyperlink" Target="https://store.ibtikar.com.sa/en/product-tag/intel-ultra-7-155u/" TargetMode="External"/><Relationship Id="rId51" Type="http://schemas.openxmlformats.org/officeDocument/2006/relationships/hyperlink" Target="https://www.hp.com/sa-ar/shop/printers/business-printers/color-laserjets.html" TargetMode="External"/><Relationship Id="rId52" Type="http://schemas.openxmlformats.org/officeDocument/2006/relationships/hyperlink" Target="https://dynamo-led-displays.co.uk/how-much-led-display-cost/" TargetMode="External"/><Relationship Id="rId53" Type="http://schemas.openxmlformats.org/officeDocument/2006/relationships/hyperlink" Target="https://saudiarabia.paylab.com/salaryinfo/mechanical-engineering/welder" TargetMode="External"/><Relationship Id="rId54" Type="http://schemas.openxmlformats.org/officeDocument/2006/relationships/hyperlink" Target="https://www.safelincs.co.uk/cfp-alarmsense-4-zone-fire-alarm-panel" TargetMode="External"/><Relationship Id="rId55" Type="http://schemas.openxmlformats.org/officeDocument/2006/relationships/hyperlink" Target="https://www.firesupplies.ae/product/mega-safety-2-kg-co2-fire-extinguisher/" TargetMode="External"/><Relationship Id="rId56" Type="http://schemas.openxmlformats.org/officeDocument/2006/relationships/hyperlink" Target="https://www.manomano.co.uk/p/greenbay-sun-shade-retractable-canopy-full-cassette-electric-awning-35x25m-wine-red-70286331" TargetMode="External"/><Relationship Id="rId57" Type="http://schemas.openxmlformats.org/officeDocument/2006/relationships/hyperlink" Target="https://bunnings.com.au/_p0557764" TargetMode="External"/><Relationship Id="rId58" Type="http://schemas.openxmlformats.org/officeDocument/2006/relationships/hyperlink" Target="https://ksa.motory.com/ar/&#1575;&#1604;&#1575;&#1582;&#1576;&#1575;&#1585;/&#1601;&#1581;&#1589;-&#1601;&#1606;&#1610;-&#1583;&#1608;&#1585;&#1610;-&#1587;&#1610;&#1575;&#1585;&#1575;&#1578;-&#1575;&#1604;&#1587;&#1593;&#1608;&#1583;&#1610;&#1577;/" TargetMode="External"/><Relationship Id="rId59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new.aisusteel.org/archives/3349" TargetMode="External"/><Relationship Id="rId2" Type="http://schemas.openxmlformats.org/officeDocument/2006/relationships/hyperlink" Target="https://saudiarabia.paylab.com/salaryinfo/mechanical-engineering/welder" TargetMode="External"/><Relationship Id="rId3" Type="http://schemas.openxmlformats.org/officeDocument/2006/relationships/hyperlink" Target="https://saudiarabia.paylab.com/salaryinfo/mechanical-engineering/welder" TargetMode="External"/><Relationship Id="rId4" Type="http://schemas.openxmlformats.org/officeDocument/2006/relationships/hyperlink" Target="https://semitrailers.net/shop/jost-complete-landing-gear-set-model-a400-g-19/" TargetMode="External"/><Relationship Id="rId5" Type="http://schemas.openxmlformats.org/officeDocument/2006/relationships/hyperlink" Target="https://new.aisusteel.org/archives/3349" TargetMode="External"/><Relationship Id="rId6" Type="http://schemas.openxmlformats.org/officeDocument/2006/relationships/hyperlink" Target="https://www.alibaba.com/product-insights/sandwich-panel-price-in-saudi.html" TargetMode="External"/><Relationship Id="rId7" Type="http://schemas.openxmlformats.org/officeDocument/2006/relationships/hyperlink" Target="https://www.madar.com/en_SA/rockwool-slab-50-x-600-x-1200mm-100kg-m3.html" TargetMode="External"/><Relationship Id="rId8" Type="http://schemas.openxmlformats.org/officeDocument/2006/relationships/hyperlink" Target="https://saudiarabia.paylab.com/salaryinfo/mechanical-engineering/welder" TargetMode="External"/><Relationship Id="rId9" Type="http://schemas.openxmlformats.org/officeDocument/2006/relationships/hyperlink" Target="https://saudiarabia.paylab.com/salaryinfo/mechanical-engineering/welder" TargetMode="External"/><Relationship Id="rId10" Type="http://schemas.openxmlformats.org/officeDocument/2006/relationships/hyperlink" Target="https://saudiarabia.paylab.com/salaryinfo/mechanical-engineering/welder" TargetMode="External"/><Relationship Id="rId11" Type="http://schemas.openxmlformats.org/officeDocument/2006/relationships/hyperlink" Target="https://www.consumeraffairs.com/automotive/scooter-lifts/" TargetMode="External"/><Relationship Id="rId12" Type="http://schemas.openxmlformats.org/officeDocument/2006/relationships/hyperlink" Target="https://saudiarabia.paylab.com/salaryinfo/mechanical-engineering/welder" TargetMode="External"/><Relationship Id="rId13" Type="http://schemas.openxmlformats.org/officeDocument/2006/relationships/hyperlink" Target="https://www.floorworld.com/blog-flooring-ideas-expert-advice/2017/august/homogeneous-heterogeneous-sheet-vinyl-flooring/" TargetMode="External"/><Relationship Id="rId14" Type="http://schemas.openxmlformats.org/officeDocument/2006/relationships/hyperlink" Target="https://saudiarabia.paylab.com/salaryinfo/mechanical-engineering/welder" TargetMode="External"/><Relationship Id="rId15" Type="http://schemas.openxmlformats.org/officeDocument/2006/relationships/hyperlink" Target="https://pioneerminisplit.com/products/pioneer-13-500-btu-full-inverter-rooftop-rv-air-conditioner-heat-pump-115v" TargetMode="External"/><Relationship Id="rId16" Type="http://schemas.openxmlformats.org/officeDocument/2006/relationships/hyperlink" Target="https://www.capsulaa.sa/saudi-arabia-services/&#1571;&#1587;&#1593;&#1575;&#1585;-&#1605;&#1603;&#1610;&#1601;&#1575;&#1578;-&#1580;&#1585;&#1610;-&#1587;&#1576;&#1604;&#1610;&#1578;-&#1601;&#1610;-&#1575;&#1604;&#1587;&#1593;&#1608;&#1583;&#1610;&#1577;/" TargetMode="External"/><Relationship Id="rId17" Type="http://schemas.openxmlformats.org/officeDocument/2006/relationships/hyperlink" Target="https://www.deltaww.com/en-US/products/cooling-telecom-power-systems/TCAC-1850-Series" TargetMode="External"/><Relationship Id="rId18" Type="http://schemas.openxmlformats.org/officeDocument/2006/relationships/hyperlink" Target="https://saudiarabia.paylab.com/salaryinfo/mechanical-engineering/welder" TargetMode="External"/><Relationship Id="rId19" Type="http://schemas.openxmlformats.org/officeDocument/2006/relationships/hyperlink" Target="https://dometic.com/en-us/outdoor/boat/boat-toilets/dometic-vacuflush-5009-75035" TargetMode="External"/><Relationship Id="rId20" Type="http://schemas.openxmlformats.org/officeDocument/2006/relationships/hyperlink" Target="https://www.dometic.com/en-ca/product/dometic-pump-sw12-9108554750" TargetMode="External"/><Relationship Id="rId21" Type="http://schemas.openxmlformats.org/officeDocument/2006/relationships/hyperlink" Target="https://saudiarabia.paylab.com/salaryinfo/mechanical-engineering/welder" TargetMode="External"/><Relationship Id="rId22" Type="http://schemas.openxmlformats.org/officeDocument/2006/relationships/hyperlink" Target="https://saudiarabia.paylab.com/salaryinfo/mechanical-engineering/welder" TargetMode="External"/><Relationship Id="rId23" Type="http://schemas.openxmlformats.org/officeDocument/2006/relationships/hyperlink" Target="https://saudiarabia.paylab.com/salaryinfo/mechanical-engineering/welder" TargetMode="External"/><Relationship Id="rId24" Type="http://schemas.openxmlformats.org/officeDocument/2006/relationships/hyperlink" Target="https://saudiarabia.paylab.com/salaryinfo/mechanical-engineering/welder" TargetMode="External"/><Relationship Id="rId25" Type="http://schemas.openxmlformats.org/officeDocument/2006/relationships/hyperlink" Target="https://autosolar.es/generadores-diesel/generador-diesel-electrico-53-kw-s65000-conn-dpp-monofasico-pramac" TargetMode="External"/><Relationship Id="rId26" Type="http://schemas.openxmlformats.org/officeDocument/2006/relationships/hyperlink" Target="https://saudiarabia.paylab.com/salaryinfo/mechanical-engineering/welder" TargetMode="External"/><Relationship Id="rId27" Type="http://schemas.openxmlformats.org/officeDocument/2006/relationships/hyperlink" Target="https://www.solar-electric.com/victron-energy-quattro-inverter-48-10000-140-230vac.html" TargetMode="External"/><Relationship Id="rId28" Type="http://schemas.openxmlformats.org/officeDocument/2006/relationships/hyperlink" Target="https://muhammed.portlandiaelectric.supply/products/ruixu-lithi2-16-51-2v-314ah-16kwh-lifepo4-battery" TargetMode="External"/><Relationship Id="rId29" Type="http://schemas.openxmlformats.org/officeDocument/2006/relationships/hyperlink" Target="https://www.wattuneed.com/fr/controleurs-de-charge-victron/25806-victron-cerbo-gx-centre-de-communication-et-de-supervision-0768563819339.html" TargetMode="External"/><Relationship Id="rId30" Type="http://schemas.openxmlformats.org/officeDocument/2006/relationships/hyperlink" Target="https://signaturesolar.com/victron-energy/?page=2" TargetMode="External"/><Relationship Id="rId31" Type="http://schemas.openxmlformats.org/officeDocument/2006/relationships/hyperlink" Target="https://ebay.com/usr/lithium_upgrade" TargetMode="External"/><Relationship Id="rId32" Type="http://schemas.openxmlformats.org/officeDocument/2006/relationships/hyperlink" Target="https://www.ebay.co.uk/str/meadotechcontrols" TargetMode="External"/><Relationship Id="rId33" Type="http://schemas.openxmlformats.org/officeDocument/2006/relationships/hyperlink" Target="https://navstore.com/collections/victron-energy" TargetMode="External"/><Relationship Id="rId34" Type="http://schemas.openxmlformats.org/officeDocument/2006/relationships/hyperlink" Target="https://saudiarabia.paylab.com/salaryinfo/mechanical-engineering/welder" TargetMode="External"/><Relationship Id="rId35" Type="http://schemas.openxmlformats.org/officeDocument/2006/relationships/hyperlink" Target="https://lifepo4.com.au/shop/solar/solarcharrgecontrollers/victron-solarchargecontrollers/victron-smartsolar-mppt-250-60-tr" TargetMode="External"/><Relationship Id="rId36" Type="http://schemas.openxmlformats.org/officeDocument/2006/relationships/hyperlink" Target="https://store.solarcellzusa.com/products/tigo-energy-ts4-a-f-rapid-shutdown-receiver" TargetMode="External"/><Relationship Id="rId37" Type="http://schemas.openxmlformats.org/officeDocument/2006/relationships/hyperlink" Target="https://saudiarabia.paylab.com/salaryinfo/mechanical-engineering/welder" TargetMode="External"/><Relationship Id="rId38" Type="http://schemas.openxmlformats.org/officeDocument/2006/relationships/hyperlink" Target="https://eshop.se.com/sa/apc-smart-ups-on-line-1500va-1500w-tower-230v-6x-c13-iec-outlets-smartslot-extended-runtime-w-o-rail-kit-srt1500xli.html" TargetMode="External"/><Relationship Id="rId39" Type="http://schemas.openxmlformats.org/officeDocument/2006/relationships/hyperlink" Target="https://datacenter360.ca/store/?p=21334" TargetMode="External"/><Relationship Id="rId40" Type="http://schemas.openxmlformats.org/officeDocument/2006/relationships/hyperlink" Target="https://www.shi.com/Product/40716112" TargetMode="External"/><Relationship Id="rId41" Type="http://schemas.openxmlformats.org/officeDocument/2006/relationships/hyperlink" Target="https://serverroomenvironments.co.uk/teltonika-rutx50-industrial-5g-routers" TargetMode="External"/><Relationship Id="rId42" Type="http://schemas.openxmlformats.org/officeDocument/2006/relationships/hyperlink" Target="https://satspeedcheck.com/cost/saudi-arabia/" TargetMode="External"/><Relationship Id="rId43" Type="http://schemas.openxmlformats.org/officeDocument/2006/relationships/hyperlink" Target="https://www.hummingbirdnetworks.com/cw9176-series-1/" TargetMode="External"/><Relationship Id="rId44" Type="http://schemas.openxmlformats.org/officeDocument/2006/relationships/hyperlink" Target="https://store.ibtikar.com.sa/en/product/hikvision-ds-7608ni-q1/" TargetMode="External"/><Relationship Id="rId45" Type="http://schemas.openxmlformats.org/officeDocument/2006/relationships/hyperlink" Target="https://id-enhancements.com/zkteco-atlas460-four-door-atlas-series-access-control-panel" TargetMode="External"/><Relationship Id="rId46" Type="http://schemas.openxmlformats.org/officeDocument/2006/relationships/hyperlink" Target="https://neotech.ae/products/zkteco-kr502e-proximity-with-keypad-access-card-reader" TargetMode="External"/><Relationship Id="rId47" Type="http://schemas.openxmlformats.org/officeDocument/2006/relationships/hyperlink" Target="https://saudiarabia.paylab.com/salaryinfo/mechanical-engineering/welder" TargetMode="External"/><Relationship Id="rId48" Type="http://schemas.openxmlformats.org/officeDocument/2006/relationships/hyperlink" Target="https://www.carrefouruae.com/mafuae/en/educational/oscar-queue-management-system-for-2-counters-with-main-display/p/6970961140692" TargetMode="External"/><Relationship Id="rId49" Type="http://schemas.openxmlformats.org/officeDocument/2006/relationships/hyperlink" Target="https://uae.sharafdg.com/ar/?p=5250236" TargetMode="External"/><Relationship Id="rId50" Type="http://schemas.openxmlformats.org/officeDocument/2006/relationships/hyperlink" Target="https://store.ibtikar.com.sa/en/product-tag/intel-ultra-7-155u/" TargetMode="External"/><Relationship Id="rId51" Type="http://schemas.openxmlformats.org/officeDocument/2006/relationships/hyperlink" Target="https://www.hp.com/sa-ar/shop/printers/business-printers/color-laserjets.html" TargetMode="External"/><Relationship Id="rId52" Type="http://schemas.openxmlformats.org/officeDocument/2006/relationships/hyperlink" Target="https://dynamo-led-displays.co.uk/how-much-led-display-cost/" TargetMode="External"/><Relationship Id="rId53" Type="http://schemas.openxmlformats.org/officeDocument/2006/relationships/hyperlink" Target="https://saudiarabia.paylab.com/salaryinfo/mechanical-engineering/welder" TargetMode="External"/><Relationship Id="rId54" Type="http://schemas.openxmlformats.org/officeDocument/2006/relationships/hyperlink" Target="https://www.safelincs.co.uk/cfp-alarmsense-4-zone-fire-alarm-panel" TargetMode="External"/><Relationship Id="rId55" Type="http://schemas.openxmlformats.org/officeDocument/2006/relationships/hyperlink" Target="https://www.firesupplies.ae/product/mega-safety-2-kg-co2-fire-extinguisher/" TargetMode="External"/><Relationship Id="rId56" Type="http://schemas.openxmlformats.org/officeDocument/2006/relationships/hyperlink" Target="https://www.manomano.co.uk/p/greenbay-sun-shade-retractable-canopy-full-cassette-electric-awning-35x25m-wine-red-70286331" TargetMode="External"/><Relationship Id="rId57" Type="http://schemas.openxmlformats.org/officeDocument/2006/relationships/hyperlink" Target="https://bunnings.com.au/_p0557764" TargetMode="External"/><Relationship Id="rId58" Type="http://schemas.openxmlformats.org/officeDocument/2006/relationships/hyperlink" Target="https://ksa.motory.com/ar/&#1575;&#1604;&#1575;&#1582;&#1576;&#1575;&#1585;/&#1601;&#1581;&#1589;-&#1601;&#1606;&#1610;-&#1583;&#1608;&#1585;&#1610;-&#1587;&#1610;&#1575;&#1585;&#1575;&#1578;-&#1575;&#1604;&#1587;&#1593;&#1608;&#1583;&#1610;&#1577;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2" t="s">
        <v>4</v>
      </c>
      <c r="B4" s="4" t="n">
        <f aca="false">SUM('ملخص البنود'!C5:C22)</f>
        <v>830892.596011113</v>
      </c>
      <c r="C4" s="5" t="n">
        <f aca="false">IF($B$13=0,0,B4/$B$13)</f>
        <v>0.70544616827955</v>
      </c>
    </row>
    <row r="5" customFormat="false" ht="15" hidden="false" customHeight="false" outlineLevel="0" collapsed="false">
      <c r="A5" s="2" t="s">
        <v>5</v>
      </c>
      <c r="B5" s="4" t="n">
        <f aca="false">'مصاريف المشروع'!$F$11</f>
        <v>112500</v>
      </c>
      <c r="C5" s="5" t="n">
        <f aca="false">IF($B$13=0,0,B5/$B$13)</f>
        <v>0.0955149851045104</v>
      </c>
    </row>
    <row r="6" customFormat="false" ht="15" hidden="false" customHeight="false" outlineLevel="0" collapsed="false">
      <c r="A6" s="6" t="s">
        <v>6</v>
      </c>
      <c r="B6" s="7" t="n">
        <f aca="false">B4+B5</f>
        <v>943392.596011113</v>
      </c>
      <c r="C6" s="5" t="n">
        <f aca="false">IF($B$13=0,0,B6/$B$13)</f>
        <v>0.800961153384061</v>
      </c>
    </row>
    <row r="7" customFormat="false" ht="15" hidden="false" customHeight="false" outlineLevel="0" collapsed="false">
      <c r="A7" s="2" t="s">
        <v>7</v>
      </c>
      <c r="B7" s="4" t="n">
        <f aca="false">B6*المدخلات!$B$18</f>
        <v>47169.6298005557</v>
      </c>
      <c r="C7" s="5" t="n">
        <f aca="false">IF($B$13=0,0,B7/$B$13)</f>
        <v>0.040048057669203</v>
      </c>
    </row>
    <row r="8" customFormat="false" ht="15" hidden="false" customHeight="false" outlineLevel="0" collapsed="false">
      <c r="A8" s="2" t="s">
        <v>8</v>
      </c>
      <c r="B8" s="4" t="n">
        <f aca="false">B6*المدخلات!$B$19</f>
        <v>23584.8149002778</v>
      </c>
      <c r="C8" s="5" t="n">
        <f aca="false">IF($B$13=0,0,B8/$B$13)</f>
        <v>0.0200240288346015</v>
      </c>
    </row>
    <row r="9" customFormat="false" ht="15" hidden="false" customHeight="false" outlineLevel="0" collapsed="false">
      <c r="A9" s="2" t="s">
        <v>9</v>
      </c>
      <c r="B9" s="4" t="n">
        <f aca="false">B6*المدخلات!$B$20</f>
        <v>9433.92596011113</v>
      </c>
      <c r="C9" s="5" t="n">
        <f aca="false">IF($B$13=0,0,B9/$B$13)</f>
        <v>0.00800961153384061</v>
      </c>
    </row>
    <row r="10" customFormat="false" ht="15" hidden="false" customHeight="false" outlineLevel="0" collapsed="false">
      <c r="A10" s="2" t="s">
        <v>10</v>
      </c>
      <c r="B10" s="4" t="n">
        <f aca="false">B6*المدخلات!$B$21</f>
        <v>47169.6298005557</v>
      </c>
      <c r="C10" s="5" t="n">
        <f aca="false">IF($B$13=0,0,B10/$B$13)</f>
        <v>0.040048057669203</v>
      </c>
    </row>
    <row r="11" customFormat="false" ht="15" hidden="false" customHeight="false" outlineLevel="0" collapsed="false">
      <c r="A11" s="6" t="s">
        <v>11</v>
      </c>
      <c r="B11" s="7" t="n">
        <f aca="false">SUM(B6:B10)</f>
        <v>1070750.59647261</v>
      </c>
      <c r="C11" s="5" t="n">
        <f aca="false">IF($B$13=0,0,B11/$B$13)</f>
        <v>0.909090909090909</v>
      </c>
    </row>
    <row r="12" customFormat="false" ht="15" hidden="false" customHeight="false" outlineLevel="0" collapsed="false">
      <c r="A12" s="2" t="s">
        <v>12</v>
      </c>
      <c r="B12" s="4" t="n">
        <f aca="false">B11*المدخلات!$B$22</f>
        <v>107075.059647261</v>
      </c>
      <c r="C12" s="5" t="n">
        <f aca="false">IF($B$13=0,0,B12/$B$13)</f>
        <v>0.0909090909090909</v>
      </c>
    </row>
    <row r="13" customFormat="false" ht="15" hidden="false" customHeight="false" outlineLevel="0" collapsed="false">
      <c r="A13" s="6" t="s">
        <v>13</v>
      </c>
      <c r="B13" s="7" t="n">
        <f aca="false">B11+B12</f>
        <v>1177825.65611987</v>
      </c>
      <c r="C13" s="5" t="n">
        <f aca="false">IF($B$13=0,0,B13/$B$13)</f>
        <v>1</v>
      </c>
    </row>
    <row r="14" customFormat="false" ht="15" hidden="false" customHeight="false" outlineLevel="0" collapsed="false">
      <c r="A14" s="2" t="s">
        <v>14</v>
      </c>
      <c r="B14" s="8" t="n">
        <f aca="false">B13/B4</f>
        <v>1.41754260631794</v>
      </c>
      <c r="C14" s="2"/>
    </row>
    <row r="15" customFormat="false" ht="15" hidden="false" customHeight="false" outlineLevel="0" collapsed="false">
      <c r="A15" s="6" t="s">
        <v>15</v>
      </c>
      <c r="B15" s="7" t="n">
        <f aca="false">'ملخص البنود'!I23</f>
        <v>1177825.67</v>
      </c>
      <c r="C15" s="2"/>
    </row>
    <row r="16" customFormat="false" ht="15" hidden="false" customHeight="false" outlineLevel="0" collapsed="false">
      <c r="A16" s="2" t="s">
        <v>16</v>
      </c>
      <c r="B16" s="4" t="n">
        <f aca="false">B15*المدخلات!$B$23</f>
        <v>176673.8505</v>
      </c>
      <c r="C16" s="2"/>
    </row>
    <row r="17" customFormat="false" ht="15" hidden="false" customHeight="false" outlineLevel="0" collapsed="false">
      <c r="A17" s="6" t="s">
        <v>17</v>
      </c>
      <c r="B17" s="7" t="n">
        <f aca="false">B15+B16</f>
        <v>1354499.5205</v>
      </c>
      <c r="C17" s="2"/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2" t="s">
        <v>18</v>
      </c>
      <c r="B19" s="9" t="n">
        <v>1299139.15</v>
      </c>
      <c r="C19" s="2"/>
    </row>
    <row r="20" customFormat="false" ht="15" hidden="false" customHeight="false" outlineLevel="0" collapsed="false">
      <c r="A20" s="2" t="s">
        <v>19</v>
      </c>
      <c r="B20" s="4" t="n">
        <f aca="false">B15-B19</f>
        <v>-121313.48</v>
      </c>
      <c r="C20" s="2"/>
    </row>
    <row r="21" customFormat="false" ht="15" hidden="false" customHeight="false" outlineLevel="0" collapsed="false">
      <c r="A21" s="2" t="s">
        <v>20</v>
      </c>
      <c r="B21" s="5" t="n">
        <f aca="false">IF(B19=0,0,B20/B19)</f>
        <v>-0.09337989698794</v>
      </c>
      <c r="C21" s="2"/>
    </row>
    <row r="22" customFormat="false" ht="15" hidden="false" customHeight="false" outlineLevel="0" collapsed="false">
      <c r="A22" s="2"/>
      <c r="B22" s="2"/>
      <c r="C22" s="2"/>
    </row>
    <row r="23" customFormat="false" ht="15" hidden="false" customHeight="false" outlineLevel="0" collapsed="false">
      <c r="A23" s="6" t="s">
        <v>21</v>
      </c>
      <c r="B23" s="2"/>
      <c r="C23" s="2"/>
    </row>
    <row r="24" customFormat="false" ht="15" hidden="false" customHeight="false" outlineLevel="0" collapsed="false">
      <c r="A24" s="3" t="s">
        <v>22</v>
      </c>
      <c r="B24" s="3" t="s">
        <v>2</v>
      </c>
      <c r="C24" s="3" t="s">
        <v>23</v>
      </c>
    </row>
    <row r="25" customFormat="false" ht="15" hidden="false" customHeight="false" outlineLevel="0" collapsed="false">
      <c r="A25" s="2" t="s">
        <v>24</v>
      </c>
      <c r="B25" s="4" t="n">
        <f aca="false">SUMIF('تكسير البنود'!$L$4:$L$241,A25,'تكسير البنود'!$J$4:$J$241)</f>
        <v>17370.33</v>
      </c>
      <c r="C25" s="5" t="n">
        <f aca="false">IF($B$4=0,0,B25/$B$4)</f>
        <v>0.0209056261704463</v>
      </c>
    </row>
    <row r="26" customFormat="false" ht="15" hidden="false" customHeight="false" outlineLevel="0" collapsed="false">
      <c r="A26" s="2" t="s">
        <v>25</v>
      </c>
      <c r="B26" s="4" t="n">
        <f aca="false">SUMIF('تكسير البنود'!$L$4:$L$241,A26,'تكسير البنود'!$J$4:$J$241)</f>
        <v>134401.891011113</v>
      </c>
      <c r="C26" s="5" t="n">
        <f aca="false">IF($B$4=0,0,B26/$B$4)</f>
        <v>0.161756034000471</v>
      </c>
    </row>
    <row r="27" customFormat="false" ht="15" hidden="false" customHeight="false" outlineLevel="0" collapsed="false">
      <c r="A27" s="2" t="s">
        <v>26</v>
      </c>
      <c r="B27" s="4" t="n">
        <f aca="false">SUMIF('تكسير البنود'!$L$4:$L$241,A27,'تكسير البنود'!$J$4:$J$241)</f>
        <v>139742.25</v>
      </c>
      <c r="C27" s="5" t="n">
        <f aca="false">IF($B$4=0,0,B27/$B$4)</f>
        <v>0.168183289477923</v>
      </c>
    </row>
    <row r="28" customFormat="false" ht="15" hidden="false" customHeight="false" outlineLevel="0" collapsed="false">
      <c r="A28" s="2" t="s">
        <v>27</v>
      </c>
      <c r="B28" s="4" t="n">
        <f aca="false">SUMIF('تكسير البنود'!$L$4:$L$241,A28,'تكسير البنود'!$J$4:$J$241)</f>
        <v>539378.125</v>
      </c>
      <c r="C28" s="5" t="n">
        <f aca="false">IF($B$4=0,0,B28/$B$4)</f>
        <v>0.64915505035116</v>
      </c>
    </row>
    <row r="29" customFormat="false" ht="15" hidden="false" customHeight="false" outlineLevel="0" collapsed="false">
      <c r="A29" s="2"/>
      <c r="B29" s="2"/>
      <c r="C29" s="2"/>
    </row>
    <row r="30" customFormat="false" ht="15" hidden="false" customHeight="false" outlineLevel="0" collapsed="false">
      <c r="A30" s="6" t="s">
        <v>28</v>
      </c>
      <c r="B30" s="2"/>
      <c r="C30" s="2"/>
    </row>
    <row r="31" customFormat="false" ht="15" hidden="false" customHeight="false" outlineLevel="0" collapsed="false">
      <c r="A31" s="3" t="s">
        <v>29</v>
      </c>
      <c r="B31" s="3" t="s">
        <v>2</v>
      </c>
      <c r="C31" s="3" t="s">
        <v>23</v>
      </c>
    </row>
    <row r="32" customFormat="false" ht="15" hidden="false" customHeight="false" outlineLevel="0" collapsed="false">
      <c r="A32" s="2" t="s">
        <v>30</v>
      </c>
      <c r="B32" s="4" t="n">
        <f aca="false">SUMIF('تكسير البنود'!$K$4:$K$241,A32,'تكسير البنود'!$J$4:$J$241)</f>
        <v>635152.596011113</v>
      </c>
      <c r="C32" s="5" t="n">
        <f aca="false">IF($B$4=0,0,B32/$B$4)</f>
        <v>0.764422019236068</v>
      </c>
    </row>
    <row r="33" customFormat="false" ht="15" hidden="false" customHeight="false" outlineLevel="0" collapsed="false">
      <c r="A33" s="2" t="s">
        <v>31</v>
      </c>
      <c r="B33" s="4" t="n">
        <f aca="false">SUMIF('تكسير البنود'!$K$4:$K$241,A33,'تكسير البنود'!$J$4:$J$241)</f>
        <v>118040</v>
      </c>
      <c r="C33" s="5" t="n">
        <f aca="false">IF($B$4=0,0,B33/$B$4)</f>
        <v>0.142064089350029</v>
      </c>
    </row>
    <row r="34" customFormat="false" ht="15" hidden="false" customHeight="false" outlineLevel="0" collapsed="false">
      <c r="A34" s="2" t="s">
        <v>32</v>
      </c>
      <c r="B34" s="4" t="n">
        <f aca="false">SUMIF('تكسير البنود'!$K$4:$K$241,A34,'تكسير البنود'!$J$4:$J$241)</f>
        <v>77700</v>
      </c>
      <c r="C34" s="5" t="n">
        <f aca="false">IF($B$4=0,0,B34/$B$4)</f>
        <v>0.093513891413904</v>
      </c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2" t="s">
        <v>33</v>
      </c>
      <c r="B36" s="4" t="n">
        <f aca="false">ROUND(SUM(B25:B28)-B4,2)</f>
        <v>0</v>
      </c>
      <c r="C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</row>
    <row r="5" customFormat="false" ht="15" hidden="false" customHeight="false" outlineLevel="0" collapsed="false">
      <c r="A5" s="2" t="s">
        <v>45</v>
      </c>
      <c r="B5" s="2" t="s">
        <v>46</v>
      </c>
      <c r="C5" s="4" t="n">
        <f aca="false">SUMIF('تكسير البنود'!$A$4:$A$241,A5,'تكسير البنود'!$J$4:$J$241)</f>
        <v>96996.25</v>
      </c>
      <c r="D5" s="10" t="n">
        <v>92000</v>
      </c>
      <c r="E5" s="11" t="n">
        <f aca="false">C5-D5</f>
        <v>4996.25</v>
      </c>
      <c r="F5" s="5" t="n">
        <f aca="false">IF(D5=0,0,E5/D5)</f>
        <v>0.0543070652173913</v>
      </c>
      <c r="G5" s="11" t="n">
        <f aca="false">SUMIFS('تكسير البنود'!$J$4:$J$241,'تكسير البنود'!$A$4:$A$241,A5,'تكسير البنود'!$L$4:$L$241,"افتراض — يلزم عرض سعر")</f>
        <v>90958.75</v>
      </c>
      <c r="H5" s="5" t="n">
        <f aca="false">IF(C5=0,0,G5/C5)</f>
        <v>0.937755325592484</v>
      </c>
      <c r="I5" s="4" t="n">
        <f aca="false">ROUND(C5*'ملخص العرض'!$B$14,2)</f>
        <v>137496.32</v>
      </c>
    </row>
    <row r="6" customFormat="false" ht="15" hidden="false" customHeight="false" outlineLevel="0" collapsed="false">
      <c r="A6" s="2" t="s">
        <v>47</v>
      </c>
      <c r="B6" s="2" t="s">
        <v>48</v>
      </c>
      <c r="C6" s="4" t="n">
        <f aca="false">SUMIF('تكسير البنود'!$A$4:$A$241,A6,'تكسير البنود'!$J$4:$J$241)</f>
        <v>95920</v>
      </c>
      <c r="D6" s="10" t="n">
        <v>118000</v>
      </c>
      <c r="E6" s="11" t="n">
        <f aca="false">C6-D6</f>
        <v>-22080</v>
      </c>
      <c r="F6" s="5" t="n">
        <f aca="false">IF(D6=0,0,E6/D6)</f>
        <v>-0.187118644067797</v>
      </c>
      <c r="G6" s="11" t="n">
        <f aca="false">SUMIFS('تكسير البنود'!$J$4:$J$241,'تكسير البنود'!$A$4:$A$241,A6,'تكسير البنود'!$L$4:$L$241,"افتراض — يلزم عرض سعر")</f>
        <v>80400</v>
      </c>
      <c r="H6" s="5" t="n">
        <f aca="false">IF(C6=0,0,G6/C6)</f>
        <v>0.838198498748958</v>
      </c>
      <c r="I6" s="4" t="n">
        <f aca="false">ROUND(C6*'ملخص العرض'!$B$14,2)</f>
        <v>135970.69</v>
      </c>
    </row>
    <row r="7" customFormat="false" ht="15" hidden="false" customHeight="false" outlineLevel="0" collapsed="false">
      <c r="A7" s="2" t="s">
        <v>49</v>
      </c>
      <c r="B7" s="2" t="s">
        <v>50</v>
      </c>
      <c r="C7" s="4" t="n">
        <f aca="false">SUMIF('تكسير البنود'!$A$4:$A$241,A7,'تكسير البنود'!$J$4:$J$241)</f>
        <v>39400</v>
      </c>
      <c r="D7" s="10" t="n">
        <v>34000</v>
      </c>
      <c r="E7" s="11" t="n">
        <f aca="false">C7-D7</f>
        <v>5400</v>
      </c>
      <c r="F7" s="5" t="n">
        <f aca="false">IF(D7=0,0,E7/D7)</f>
        <v>0.158823529411765</v>
      </c>
      <c r="G7" s="11" t="n">
        <f aca="false">SUMIFS('تكسير البنود'!$J$4:$J$241,'تكسير البنود'!$A$4:$A$241,A7,'تكسير البنود'!$L$4:$L$241,"افتراض — يلزم عرض سعر")</f>
        <v>39400</v>
      </c>
      <c r="H7" s="5" t="n">
        <f aca="false">IF(C7=0,0,G7/C7)</f>
        <v>1</v>
      </c>
      <c r="I7" s="4" t="n">
        <f aca="false">ROUND(C7*'ملخص العرض'!$B$14,2)</f>
        <v>55851.18</v>
      </c>
    </row>
    <row r="8" customFormat="false" ht="15" hidden="false" customHeight="false" outlineLevel="0" collapsed="false">
      <c r="A8" s="2" t="s">
        <v>51</v>
      </c>
      <c r="B8" s="2" t="s">
        <v>52</v>
      </c>
      <c r="C8" s="4" t="n">
        <f aca="false">SUMIF('تكسير البنود'!$A$4:$A$241,A8,'تكسير البنود'!$J$4:$J$241)</f>
        <v>55061.25</v>
      </c>
      <c r="D8" s="10" t="n">
        <v>48000</v>
      </c>
      <c r="E8" s="11" t="n">
        <f aca="false">C8-D8</f>
        <v>7061.25</v>
      </c>
      <c r="F8" s="5" t="n">
        <f aca="false">IF(D8=0,0,E8/D8)</f>
        <v>0.147109375</v>
      </c>
      <c r="G8" s="11" t="n">
        <f aca="false">SUMIFS('تكسير البنود'!$J$4:$J$241,'تكسير البنود'!$A$4:$A$241,A8,'تكسير البنود'!$L$4:$L$241,"افتراض — يلزم عرض سعر")</f>
        <v>9780</v>
      </c>
      <c r="H8" s="5" t="n">
        <f aca="false">IF(C8=0,0,G8/C8)</f>
        <v>0.17762037730709</v>
      </c>
      <c r="I8" s="4" t="n">
        <f aca="false">ROUND(C8*'ملخص العرض'!$B$14,2)</f>
        <v>78051.67</v>
      </c>
    </row>
    <row r="9" customFormat="false" ht="15" hidden="false" customHeight="false" outlineLevel="0" collapsed="false">
      <c r="A9" s="2" t="s">
        <v>53</v>
      </c>
      <c r="B9" s="2" t="s">
        <v>54</v>
      </c>
      <c r="C9" s="4" t="n">
        <f aca="false">SUMIF('تكسير البنود'!$A$4:$A$241,A9,'تكسير البنود'!$J$4:$J$241)</f>
        <v>52030</v>
      </c>
      <c r="D9" s="10" t="n">
        <v>58000</v>
      </c>
      <c r="E9" s="11" t="n">
        <f aca="false">C9-D9</f>
        <v>-5970</v>
      </c>
      <c r="F9" s="5" t="n">
        <f aca="false">IF(D9=0,0,E9/D9)</f>
        <v>-0.102931034482759</v>
      </c>
      <c r="G9" s="11" t="n">
        <f aca="false">SUMIFS('تكسير البنود'!$J$4:$J$241,'تكسير البنود'!$A$4:$A$241,A9,'تكسير البنود'!$L$4:$L$241,"افتراض — يلزم عرض سعر")</f>
        <v>47530</v>
      </c>
      <c r="H9" s="5" t="n">
        <f aca="false">IF(C9=0,0,G9/C9)</f>
        <v>0.913511435710167</v>
      </c>
      <c r="I9" s="4" t="n">
        <f aca="false">ROUND(C9*'ملخص العرض'!$B$14,2)</f>
        <v>73754.74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4" t="n">
        <f aca="false">SUMIF('تكسير البنود'!$A$4:$A$241,A10,'تكسير البنود'!$J$4:$J$241)</f>
        <v>61355</v>
      </c>
      <c r="D10" s="10" t="n">
        <v>71000</v>
      </c>
      <c r="E10" s="11" t="n">
        <f aca="false">C10-D10</f>
        <v>-9645</v>
      </c>
      <c r="F10" s="5" t="n">
        <f aca="false">IF(D10=0,0,E10/D10)</f>
        <v>-0.135845070422535</v>
      </c>
      <c r="G10" s="11" t="n">
        <f aca="false">SUMIFS('تكسير البنود'!$J$4:$J$241,'تكسير البنود'!$A$4:$A$241,A10,'تكسير البنود'!$L$4:$L$241,"افتراض — يلزم عرض سعر")</f>
        <v>25710</v>
      </c>
      <c r="H10" s="5" t="n">
        <f aca="false">IF(C10=0,0,G10/C10)</f>
        <v>0.419036753320838</v>
      </c>
      <c r="I10" s="4" t="n">
        <f aca="false">ROUND(C10*'ملخص العرض'!$B$14,2)</f>
        <v>86973.33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4" t="n">
        <f aca="false">SUMIF('تكسير البنود'!$A$4:$A$241,A11,'تكسير البنود'!$J$4:$J$241)</f>
        <v>29025.16375</v>
      </c>
      <c r="D11" s="10" t="n">
        <v>41000</v>
      </c>
      <c r="E11" s="11" t="n">
        <f aca="false">C11-D11</f>
        <v>-11974.83625</v>
      </c>
      <c r="F11" s="5" t="n">
        <f aca="false">IF(D11=0,0,E11/D11)</f>
        <v>-0.292069176829268</v>
      </c>
      <c r="G11" s="11" t="n">
        <f aca="false">SUMIFS('تكسير البنود'!$J$4:$J$241,'تكسير البنود'!$A$4:$A$241,A11,'تكسير البنود'!$L$4:$L$241,"افتراض — يلزم عرض سعر")</f>
        <v>20848.75</v>
      </c>
      <c r="H11" s="5" t="n">
        <f aca="false">IF(C11=0,0,G11/C11)</f>
        <v>0.718299134488087</v>
      </c>
      <c r="I11" s="4" t="n">
        <f aca="false">ROUND(C11*'ملخص العرض'!$B$14,2)</f>
        <v>41144.41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4" t="n">
        <f aca="false">SUMIF('تكسير البنود'!$A$4:$A$241,A12,'تكسير البنود'!$J$4:$J$241)</f>
        <v>39840</v>
      </c>
      <c r="D12" s="10" t="n">
        <v>47000</v>
      </c>
      <c r="E12" s="11" t="n">
        <f aca="false">C12-D12</f>
        <v>-7160</v>
      </c>
      <c r="F12" s="5" t="n">
        <f aca="false">IF(D12=0,0,E12/D12)</f>
        <v>-0.152340425531915</v>
      </c>
      <c r="G12" s="11" t="n">
        <f aca="false">SUMIFS('تكسير البنود'!$J$4:$J$241,'تكسير البنود'!$A$4:$A$241,A12,'تكسير البنود'!$L$4:$L$241,"افتراض — يلزم عرض سعر")</f>
        <v>39840</v>
      </c>
      <c r="H12" s="5" t="n">
        <f aca="false">IF(C12=0,0,G12/C12)</f>
        <v>1</v>
      </c>
      <c r="I12" s="4" t="n">
        <f aca="false">ROUND(C12*'ملخص العرض'!$B$14,2)</f>
        <v>56474.9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4" t="n">
        <f aca="false">SUMIF('تكسير البنود'!$A$4:$A$241,A13,'تكسير البنود'!$J$4:$J$241)</f>
        <v>24350.28125</v>
      </c>
      <c r="D13" s="10" t="n">
        <v>21000</v>
      </c>
      <c r="E13" s="11" t="n">
        <f aca="false">C13-D13</f>
        <v>3350.28125</v>
      </c>
      <c r="F13" s="5" t="n">
        <f aca="false">IF(D13=0,0,E13/D13)</f>
        <v>0.159537202380952</v>
      </c>
      <c r="G13" s="11" t="n">
        <f aca="false">SUMIFS('تكسير البنود'!$J$4:$J$241,'تكسير البنود'!$A$4:$A$241,A13,'تكسير البنود'!$L$4:$L$241,"افتراض — يلزم عرض سعر")</f>
        <v>8780</v>
      </c>
      <c r="H13" s="5" t="n">
        <f aca="false">IF(C13=0,0,G13/C13)</f>
        <v>0.360570783961684</v>
      </c>
      <c r="I13" s="4" t="n">
        <f aca="false">ROUND(C13*'ملخص العرض'!$B$14,2)</f>
        <v>34517.56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4" t="n">
        <f aca="false">SUMIF('تكسير البنود'!$A$4:$A$241,A14,'تكسير البنود'!$J$4:$J$241)</f>
        <v>66334.994375</v>
      </c>
      <c r="D14" s="10" t="n">
        <v>74000</v>
      </c>
      <c r="E14" s="11" t="n">
        <f aca="false">C14-D14</f>
        <v>-7665.00562500001</v>
      </c>
      <c r="F14" s="5" t="n">
        <f aca="false">IF(D14=0,0,E14/D14)</f>
        <v>-0.103581157094595</v>
      </c>
      <c r="G14" s="11" t="n">
        <f aca="false">SUMIFS('تكسير البنود'!$J$4:$J$241,'تكسير البنود'!$A$4:$A$241,A14,'تكسير البنود'!$L$4:$L$241,"افتراض — يلزم عرض سعر")</f>
        <v>10830</v>
      </c>
      <c r="H14" s="5" t="n">
        <f aca="false">IF(C14=0,0,G14/C14)</f>
        <v>0.163262243436348</v>
      </c>
      <c r="I14" s="4" t="n">
        <f aca="false">ROUND(C14*'ملخص العرض'!$B$14,2)</f>
        <v>94032.68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4" t="n">
        <f aca="false">SUMIF('تكسير البنود'!$A$4:$A$241,A15,'تكسير البنود'!$J$4:$J$241)</f>
        <v>20810.043</v>
      </c>
      <c r="D15" s="10" t="n">
        <v>28560</v>
      </c>
      <c r="E15" s="11" t="n">
        <f aca="false">C15-D15</f>
        <v>-7749.957</v>
      </c>
      <c r="F15" s="5" t="n">
        <f aca="false">IF(D15=0,0,E15/D15)</f>
        <v>-0.271357037815126</v>
      </c>
      <c r="G15" s="11" t="n">
        <f aca="false">SUMIFS('تكسير البنود'!$J$4:$J$241,'تكسير البنود'!$A$4:$A$241,A15,'تكسير البنود'!$L$4:$L$241,"افتراض — يلزم عرض سعر")</f>
        <v>15868.125</v>
      </c>
      <c r="H15" s="5" t="n">
        <f aca="false">IF(C15=0,0,G15/C15)</f>
        <v>0.762522451299116</v>
      </c>
      <c r="I15" s="4" t="n">
        <f aca="false">ROUND(C15*'ملخص العرض'!$B$14,2)</f>
        <v>29499.12</v>
      </c>
    </row>
    <row r="16" customFormat="false" ht="15" hidden="false" customHeight="false" outlineLevel="0" collapsed="false">
      <c r="A16" s="2" t="s">
        <v>67</v>
      </c>
      <c r="B16" s="2" t="s">
        <v>68</v>
      </c>
      <c r="C16" s="4" t="n">
        <f aca="false">SUMIF('تكسير البنود'!$A$4:$A$241,A16,'تكسير البنود'!$J$4:$J$241)</f>
        <v>8087.33</v>
      </c>
      <c r="D16" s="10" t="n">
        <v>6500</v>
      </c>
      <c r="E16" s="11" t="n">
        <f aca="false">C16-D16</f>
        <v>1587.33</v>
      </c>
      <c r="F16" s="5" t="n">
        <f aca="false">IF(D16=0,0,E16/D16)</f>
        <v>0.244204615384615</v>
      </c>
      <c r="G16" s="11" t="n">
        <f aca="false">SUMIFS('تكسير البنود'!$J$4:$J$241,'تكسير البنود'!$A$4:$A$241,A16,'تكسير البنود'!$L$4:$L$241,"افتراض — يلزم عرض سعر")</f>
        <v>3500</v>
      </c>
      <c r="H16" s="5" t="n">
        <f aca="false">IF(C16=0,0,G16/C16)</f>
        <v>0.432775712132434</v>
      </c>
      <c r="I16" s="4" t="n">
        <f aca="false">ROUND(C16*'ملخص العرض'!$B$14,2)</f>
        <v>11464.13</v>
      </c>
    </row>
    <row r="17" customFormat="false" ht="15" hidden="false" customHeight="false" outlineLevel="0" collapsed="false">
      <c r="A17" s="2" t="s">
        <v>69</v>
      </c>
      <c r="B17" s="2" t="s">
        <v>70</v>
      </c>
      <c r="C17" s="4" t="n">
        <f aca="false">SUMIF('تكسير البنود'!$A$4:$A$241,A17,'تكسير البنود'!$J$4:$J$241)</f>
        <v>68887.782253659</v>
      </c>
      <c r="D17" s="10" t="n">
        <v>98000</v>
      </c>
      <c r="E17" s="11" t="n">
        <f aca="false">C17-D17</f>
        <v>-29112.217746341</v>
      </c>
      <c r="F17" s="5" t="n">
        <f aca="false">IF(D17=0,0,E17/D17)</f>
        <v>-0.297063446391235</v>
      </c>
      <c r="G17" s="11" t="n">
        <f aca="false">SUMIFS('تكسير البنود'!$J$4:$J$241,'تكسير البنود'!$A$4:$A$241,A17,'تكسير البنود'!$L$4:$L$241,"افتراض — يلزم عرض سعر")</f>
        <v>41552.5</v>
      </c>
      <c r="H17" s="5" t="n">
        <f aca="false">IF(C17=0,0,G17/C17)</f>
        <v>0.603191141311462</v>
      </c>
      <c r="I17" s="4" t="n">
        <f aca="false">ROUND(C17*'ملخص العرض'!$B$14,2)</f>
        <v>97651.37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4" t="n">
        <f aca="false">SUMIF('تكسير البنود'!$A$4:$A$241,A18,'تكسير البنود'!$J$4:$J$241)</f>
        <v>39768.3124574541</v>
      </c>
      <c r="D18" s="10" t="n">
        <v>62000</v>
      </c>
      <c r="E18" s="11" t="n">
        <f aca="false">C18-D18</f>
        <v>-22231.687542546</v>
      </c>
      <c r="F18" s="5" t="n">
        <f aca="false">IF(D18=0,0,E18/D18)</f>
        <v>-0.358575605524935</v>
      </c>
      <c r="G18" s="11" t="n">
        <f aca="false">SUMIFS('تكسير البنود'!$J$4:$J$241,'تكسير البنود'!$A$4:$A$241,A18,'تكسير البنود'!$L$4:$L$241,"افتراض — يلزم عرض سعر")</f>
        <v>20900</v>
      </c>
      <c r="H18" s="5" t="n">
        <f aca="false">IF(C18=0,0,G18/C18)</f>
        <v>0.525544050237479</v>
      </c>
      <c r="I18" s="4" t="n">
        <f aca="false">ROUND(C18*'ملخص العرض'!$B$14,2)</f>
        <v>56373.28</v>
      </c>
    </row>
    <row r="19" customFormat="false" ht="15" hidden="false" customHeight="false" outlineLevel="0" collapsed="false">
      <c r="A19" s="2" t="s">
        <v>73</v>
      </c>
      <c r="B19" s="2" t="s">
        <v>74</v>
      </c>
      <c r="C19" s="4" t="n">
        <f aca="false">SUMIF('تكسير البنود'!$A$4:$A$241,A19,'تكسير البنود'!$J$4:$J$241)</f>
        <v>47705</v>
      </c>
      <c r="D19" s="10" t="n">
        <v>38000</v>
      </c>
      <c r="E19" s="11" t="n">
        <f aca="false">C19-D19</f>
        <v>9704.99999999999</v>
      </c>
      <c r="F19" s="5" t="n">
        <f aca="false">IF(D19=0,0,E19/D19)</f>
        <v>0.255394736842105</v>
      </c>
      <c r="G19" s="11" t="n">
        <f aca="false">SUMIFS('تكسير البنود'!$J$4:$J$241,'تكسير البنود'!$A$4:$A$241,A19,'تكسير البنود'!$L$4:$L$241,"افتراض — يلزم عرض سعر")</f>
        <v>11480</v>
      </c>
      <c r="H19" s="5" t="n">
        <f aca="false">IF(C19=0,0,G19/C19)</f>
        <v>0.240645634629494</v>
      </c>
      <c r="I19" s="4" t="n">
        <f aca="false">ROUND(C19*'ملخص العرض'!$B$14,2)</f>
        <v>67623.87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4" t="n">
        <f aca="false">SUMIF('تكسير البنود'!$A$4:$A$241,A20,'تكسير البنود'!$J$4:$J$241)</f>
        <v>35320.456425</v>
      </c>
      <c r="D20" s="10" t="n">
        <v>33000</v>
      </c>
      <c r="E20" s="11" t="n">
        <f aca="false">C20-D20</f>
        <v>2320.456425</v>
      </c>
      <c r="F20" s="5" t="n">
        <f aca="false">IF(D20=0,0,E20/D20)</f>
        <v>0.0703168613636363</v>
      </c>
      <c r="G20" s="11" t="n">
        <f aca="false">SUMIFS('تكسير البنود'!$J$4:$J$241,'تكسير البنود'!$A$4:$A$241,A20,'تكسير البنود'!$L$4:$L$241,"افتراض — يلزم عرض سعر")</f>
        <v>32600</v>
      </c>
      <c r="H20" s="5" t="n">
        <f aca="false">IF(C20=0,0,G20/C20)</f>
        <v>0.922977880232758</v>
      </c>
      <c r="I20" s="4" t="n">
        <f aca="false">ROUND(C20*'ملخص العرض'!$B$14,2)</f>
        <v>50068.25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4" t="n">
        <f aca="false">SUMIF('تكسير البنود'!$A$4:$A$241,A21,'تكسير البنود'!$J$4:$J$241)</f>
        <v>26300.7325</v>
      </c>
      <c r="D21" s="10" t="n">
        <v>26000</v>
      </c>
      <c r="E21" s="11" t="n">
        <f aca="false">C21-D21</f>
        <v>300.732499999998</v>
      </c>
      <c r="F21" s="5" t="n">
        <f aca="false">IF(D21=0,0,E21/D21)</f>
        <v>0.0115666346153845</v>
      </c>
      <c r="G21" s="11" t="n">
        <f aca="false">SUMIFS('تكسير البنود'!$J$4:$J$241,'تكسير البنود'!$A$4:$A$241,A21,'تكسير البنود'!$L$4:$L$241,"افتراض — يلزم عرض سعر")</f>
        <v>16900</v>
      </c>
      <c r="H21" s="5" t="n">
        <f aca="false">IF(C21=0,0,G21/C21)</f>
        <v>0.642567654722164</v>
      </c>
      <c r="I21" s="4" t="n">
        <f aca="false">ROUND(C21*'ملخص العرض'!$B$14,2)</f>
        <v>37282.41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4" t="n">
        <f aca="false">SUMIF('تكسير البنود'!$A$4:$A$241,A22,'تكسير البنود'!$J$4:$J$241)</f>
        <v>23700</v>
      </c>
      <c r="D22" s="10" t="n">
        <v>32000</v>
      </c>
      <c r="E22" s="11" t="n">
        <f aca="false">C22-D22</f>
        <v>-8300</v>
      </c>
      <c r="F22" s="5" t="n">
        <f aca="false">IF(D22=0,0,E22/D22)</f>
        <v>-0.259375</v>
      </c>
      <c r="G22" s="11" t="n">
        <f aca="false">SUMIFS('تكسير البنود'!$J$4:$J$241,'تكسير البنود'!$A$4:$A$241,A22,'تكسير البنود'!$L$4:$L$241,"افتراض — يلزم عرض سعر")</f>
        <v>22500</v>
      </c>
      <c r="H22" s="5" t="n">
        <f aca="false">IF(C22=0,0,G22/C22)</f>
        <v>0.949367088607595</v>
      </c>
      <c r="I22" s="4" t="n">
        <f aca="false">ROUND(C22*'ملخص العرض'!$B$14,2)</f>
        <v>33595.76</v>
      </c>
    </row>
    <row r="23" customFormat="false" ht="15" hidden="false" customHeight="false" outlineLevel="0" collapsed="false">
      <c r="A23" s="2"/>
      <c r="B23" s="6" t="s">
        <v>81</v>
      </c>
      <c r="C23" s="7" t="n">
        <f aca="false">SUM(C5:C22)</f>
        <v>830892.596011113</v>
      </c>
      <c r="D23" s="7" t="n">
        <f aca="false">SUM(D5:D22)</f>
        <v>928060</v>
      </c>
      <c r="E23" s="7" t="n">
        <f aca="false">SUM(E5:E22)</f>
        <v>-97167.403988887</v>
      </c>
      <c r="F23" s="5" t="n">
        <f aca="false">IF(D23=0,0,E23/D23)</f>
        <v>-0.10469948493512</v>
      </c>
      <c r="G23" s="7" t="n">
        <f aca="false">SUM(G5:G22)</f>
        <v>539378.125</v>
      </c>
      <c r="H23" s="5" t="n">
        <f aca="false">IF(C23=0,0,G23/C23)</f>
        <v>0.64915505035116</v>
      </c>
      <c r="I23" s="7" t="n">
        <f aca="false">SUM(I5:I22)</f>
        <v>1177825.67</v>
      </c>
    </row>
    <row r="24" customFormat="false" ht="15" hidden="false" customHeight="false" outlineLevel="0" collapsed="false">
      <c r="A24" s="2"/>
      <c r="B24" s="2" t="s">
        <v>16</v>
      </c>
      <c r="C24" s="2"/>
      <c r="D24" s="2"/>
      <c r="E24" s="2"/>
      <c r="F24" s="2"/>
      <c r="G24" s="2"/>
      <c r="H24" s="2"/>
      <c r="I24" s="4" t="n">
        <f aca="false">I23*المدخلات!$B$23</f>
        <v>176673.8505</v>
      </c>
    </row>
    <row r="25" customFormat="false" ht="15" hidden="false" customHeight="false" outlineLevel="0" collapsed="false">
      <c r="A25" s="2"/>
      <c r="B25" s="6" t="s">
        <v>17</v>
      </c>
      <c r="C25" s="2"/>
      <c r="D25" s="2"/>
      <c r="E25" s="2"/>
      <c r="F25" s="2"/>
      <c r="G25" s="2"/>
      <c r="H25" s="2"/>
      <c r="I25" s="7" t="n">
        <f aca="false">I23+I24</f>
        <v>1354499.5205</v>
      </c>
    </row>
    <row r="26" customFormat="false" ht="15" hidden="false" customHeight="false" outlineLevel="0" collapsed="false">
      <c r="A26" s="2"/>
      <c r="B26" s="2" t="s">
        <v>82</v>
      </c>
      <c r="C26" s="2"/>
      <c r="D26" s="2"/>
      <c r="E26" s="2"/>
      <c r="F26" s="2"/>
      <c r="G26" s="2"/>
      <c r="H26" s="2"/>
      <c r="I26" s="4" t="n">
        <f aca="false">I23-'ملخص العرض'!B13</f>
        <v>0.013880125246942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83</v>
      </c>
      <c r="B1" s="2"/>
      <c r="C1" s="2"/>
    </row>
    <row r="2" customFormat="false" ht="15" hidden="false" customHeight="false" outlineLevel="0" collapsed="false">
      <c r="A2" s="2" t="s">
        <v>84</v>
      </c>
      <c r="B2" s="2"/>
      <c r="C2" s="2"/>
    </row>
    <row r="3" customFormat="false" ht="15" hidden="false" customHeight="false" outlineLevel="0" collapsed="false">
      <c r="A3" s="3" t="s">
        <v>36</v>
      </c>
      <c r="B3" s="3" t="s">
        <v>85</v>
      </c>
      <c r="C3" s="3" t="s">
        <v>86</v>
      </c>
    </row>
    <row r="4" customFormat="false" ht="15" hidden="false" customHeight="false" outlineLevel="0" collapsed="false">
      <c r="A4" s="2" t="s">
        <v>87</v>
      </c>
      <c r="B4" s="12" t="n">
        <v>1</v>
      </c>
      <c r="C4" s="2" t="s">
        <v>88</v>
      </c>
    </row>
    <row r="5" customFormat="false" ht="15" hidden="false" customHeight="false" outlineLevel="0" collapsed="false">
      <c r="A5" s="2" t="s">
        <v>89</v>
      </c>
      <c r="B5" s="12" t="n">
        <v>3.75</v>
      </c>
      <c r="C5" s="2" t="s">
        <v>90</v>
      </c>
    </row>
    <row r="6" customFormat="false" ht="15" hidden="false" customHeight="false" outlineLevel="0" collapsed="false">
      <c r="A6" s="2" t="s">
        <v>91</v>
      </c>
      <c r="B6" s="12" t="n">
        <v>4.35</v>
      </c>
      <c r="C6" s="2" t="s">
        <v>92</v>
      </c>
    </row>
    <row r="7" customFormat="false" ht="15" hidden="false" customHeight="false" outlineLevel="0" collapsed="false">
      <c r="A7" s="2" t="s">
        <v>93</v>
      </c>
      <c r="B7" s="12" t="n">
        <v>5.05</v>
      </c>
      <c r="C7" s="2" t="s">
        <v>92</v>
      </c>
    </row>
    <row r="8" customFormat="false" ht="15" hidden="false" customHeight="false" outlineLevel="0" collapsed="false">
      <c r="A8" s="2" t="s">
        <v>94</v>
      </c>
      <c r="B8" s="12" t="n">
        <f aca="false">3.75/3.6725</f>
        <v>1.0211027910143</v>
      </c>
      <c r="C8" s="2" t="s">
        <v>95</v>
      </c>
    </row>
    <row r="9" customFormat="false" ht="15" hidden="false" customHeight="false" outlineLevel="0" collapsed="false">
      <c r="A9" s="2" t="s">
        <v>96</v>
      </c>
      <c r="B9" s="12" t="n">
        <v>2.45</v>
      </c>
      <c r="C9" s="2" t="s">
        <v>92</v>
      </c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2" t="s">
        <v>97</v>
      </c>
      <c r="B11" s="13" t="n">
        <v>1.15</v>
      </c>
      <c r="C11" s="2" t="s">
        <v>98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2" t="s">
        <v>99</v>
      </c>
      <c r="B13" s="13" t="n">
        <v>380</v>
      </c>
      <c r="C13" s="2" t="s">
        <v>100</v>
      </c>
    </row>
    <row r="14" customFormat="false" ht="15" hidden="false" customHeight="false" outlineLevel="0" collapsed="false">
      <c r="A14" s="2" t="s">
        <v>101</v>
      </c>
      <c r="B14" s="13" t="n">
        <v>250</v>
      </c>
      <c r="C14" s="2" t="s">
        <v>102</v>
      </c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2" t="s">
        <v>103</v>
      </c>
      <c r="B16" s="14" t="n">
        <v>3</v>
      </c>
      <c r="C16" s="2" t="s">
        <v>104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2" t="s">
        <v>105</v>
      </c>
      <c r="B18" s="15" t="n">
        <v>0.05</v>
      </c>
      <c r="C18" s="2"/>
    </row>
    <row r="19" customFormat="false" ht="15" hidden="false" customHeight="false" outlineLevel="0" collapsed="false">
      <c r="A19" s="2" t="s">
        <v>106</v>
      </c>
      <c r="B19" s="15" t="n">
        <v>0.025</v>
      </c>
      <c r="C19" s="2" t="s">
        <v>107</v>
      </c>
    </row>
    <row r="20" customFormat="false" ht="15" hidden="false" customHeight="false" outlineLevel="0" collapsed="false">
      <c r="A20" s="2" t="s">
        <v>108</v>
      </c>
      <c r="B20" s="15" t="n">
        <v>0.01</v>
      </c>
      <c r="C20" s="2"/>
    </row>
    <row r="21" customFormat="false" ht="15" hidden="false" customHeight="false" outlineLevel="0" collapsed="false">
      <c r="A21" s="2" t="s">
        <v>109</v>
      </c>
      <c r="B21" s="15" t="n">
        <v>0.05</v>
      </c>
      <c r="C21" s="2"/>
    </row>
    <row r="22" customFormat="false" ht="15" hidden="false" customHeight="false" outlineLevel="0" collapsed="false">
      <c r="A22" s="2" t="s">
        <v>110</v>
      </c>
      <c r="B22" s="15" t="n">
        <v>0.1</v>
      </c>
      <c r="C22" s="2"/>
    </row>
    <row r="23" customFormat="false" ht="15" hidden="false" customHeight="false" outlineLevel="0" collapsed="false">
      <c r="A23" s="2" t="s">
        <v>16</v>
      </c>
      <c r="B23" s="16" t="n">
        <v>0.15</v>
      </c>
      <c r="C23" s="2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6" t="s">
        <v>111</v>
      </c>
      <c r="B25" s="2"/>
      <c r="C25" s="2"/>
    </row>
    <row r="26" customFormat="false" ht="15" hidden="false" customHeight="false" outlineLevel="0" collapsed="false">
      <c r="A26" s="2" t="s">
        <v>24</v>
      </c>
      <c r="B26" s="2"/>
      <c r="C26" s="2" t="s">
        <v>112</v>
      </c>
    </row>
    <row r="27" customFormat="false" ht="15" hidden="false" customHeight="false" outlineLevel="0" collapsed="false">
      <c r="A27" s="2" t="s">
        <v>25</v>
      </c>
      <c r="B27" s="2"/>
      <c r="C27" s="2" t="s">
        <v>113</v>
      </c>
    </row>
    <row r="28" customFormat="false" ht="15" hidden="false" customHeight="false" outlineLevel="0" collapsed="false">
      <c r="A28" s="2" t="s">
        <v>26</v>
      </c>
      <c r="B28" s="2"/>
      <c r="C28" s="2" t="s">
        <v>114</v>
      </c>
    </row>
    <row r="29" customFormat="false" ht="15" hidden="false" customHeight="false" outlineLevel="0" collapsed="false">
      <c r="A29" s="2" t="s">
        <v>27</v>
      </c>
      <c r="B29" s="2"/>
      <c r="C29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48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6.85" hidden="false" customHeight="false" outlineLevel="0" collapsed="false">
      <c r="A3" s="3" t="s">
        <v>36</v>
      </c>
      <c r="B3" s="3" t="s">
        <v>117</v>
      </c>
      <c r="C3" s="3" t="s">
        <v>37</v>
      </c>
      <c r="D3" s="3" t="s">
        <v>118</v>
      </c>
      <c r="E3" s="3" t="s">
        <v>119</v>
      </c>
      <c r="F3" s="3" t="s">
        <v>120</v>
      </c>
      <c r="G3" s="3" t="s">
        <v>121</v>
      </c>
      <c r="H3" s="3" t="s">
        <v>122</v>
      </c>
      <c r="I3" s="3" t="s">
        <v>123</v>
      </c>
      <c r="J3" s="3" t="s">
        <v>124</v>
      </c>
      <c r="K3" s="3" t="s">
        <v>29</v>
      </c>
      <c r="L3" s="3" t="s">
        <v>22</v>
      </c>
      <c r="M3" s="3" t="s">
        <v>125</v>
      </c>
      <c r="N3" s="3" t="s">
        <v>126</v>
      </c>
    </row>
    <row r="4" customFormat="false" ht="15" hidden="false" customHeight="false" outlineLevel="0" collapsed="false">
      <c r="A4" s="17"/>
      <c r="B4" s="17"/>
      <c r="C4" s="18" t="s">
        <v>127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customFormat="false" ht="26.85" hidden="false" customHeight="false" outlineLevel="0" collapsed="false">
      <c r="A5" s="2" t="s">
        <v>45</v>
      </c>
      <c r="B5" s="2" t="n">
        <v>1</v>
      </c>
      <c r="C5" s="19" t="s">
        <v>128</v>
      </c>
      <c r="D5" s="2" t="s">
        <v>129</v>
      </c>
      <c r="E5" s="20" t="n">
        <v>3.3</v>
      </c>
      <c r="F5" s="9" t="n">
        <v>4200</v>
      </c>
      <c r="G5" s="2" t="s">
        <v>130</v>
      </c>
      <c r="H5" s="2" t="s">
        <v>131</v>
      </c>
      <c r="I5" s="4" t="n">
        <f aca="false">F5*VLOOKUP(IF(G5="ر.س","SAR",G5),المدخلات!$A$4:$B$9,2,FALSE())*IF(H5="نعم",المدخلات!$B$11,1)</f>
        <v>4200</v>
      </c>
      <c r="J5" s="4" t="n">
        <f aca="false">E5*I5</f>
        <v>13860</v>
      </c>
      <c r="K5" s="2" t="s">
        <v>30</v>
      </c>
      <c r="L5" s="2" t="s">
        <v>27</v>
      </c>
      <c r="M5" s="19" t="s">
        <v>132</v>
      </c>
      <c r="N5" s="2" t="s">
        <v>133</v>
      </c>
    </row>
    <row r="6" customFormat="false" ht="15" hidden="false" customHeight="false" outlineLevel="0" collapsed="false">
      <c r="A6" s="2" t="s">
        <v>45</v>
      </c>
      <c r="B6" s="2" t="n">
        <v>2</v>
      </c>
      <c r="C6" s="19" t="s">
        <v>134</v>
      </c>
      <c r="D6" s="2" t="s">
        <v>135</v>
      </c>
      <c r="E6" s="20" t="n">
        <v>36</v>
      </c>
      <c r="F6" s="21" t="n">
        <f aca="false">المدخلات!$B$13</f>
        <v>380</v>
      </c>
      <c r="G6" s="2" t="s">
        <v>130</v>
      </c>
      <c r="H6" s="2" t="s">
        <v>131</v>
      </c>
      <c r="I6" s="4" t="n">
        <f aca="false">F6*VLOOKUP(IF(G6="ر.س","SAR",G6),المدخلات!$A$4:$B$9,2,FALSE())*IF(H6="نعم",المدخلات!$B$11,1)</f>
        <v>380</v>
      </c>
      <c r="J6" s="4" t="n">
        <f aca="false">E6*I6</f>
        <v>13680</v>
      </c>
      <c r="K6" s="2" t="s">
        <v>31</v>
      </c>
      <c r="L6" s="2" t="s">
        <v>27</v>
      </c>
      <c r="M6" s="19" t="s">
        <v>136</v>
      </c>
      <c r="N6" s="2" t="s">
        <v>137</v>
      </c>
    </row>
    <row r="7" customFormat="false" ht="15" hidden="false" customHeight="false" outlineLevel="0" collapsed="false">
      <c r="A7" s="2" t="s">
        <v>45</v>
      </c>
      <c r="B7" s="2" t="n">
        <v>3</v>
      </c>
      <c r="C7" s="19" t="s">
        <v>138</v>
      </c>
      <c r="D7" s="2" t="s">
        <v>135</v>
      </c>
      <c r="E7" s="20" t="n">
        <v>12</v>
      </c>
      <c r="F7" s="21" t="n">
        <f aca="false">المدخلات!$B$14</f>
        <v>250</v>
      </c>
      <c r="G7" s="2" t="s">
        <v>130</v>
      </c>
      <c r="H7" s="2" t="s">
        <v>131</v>
      </c>
      <c r="I7" s="4" t="n">
        <f aca="false">F7*VLOOKUP(IF(G7="ر.س","SAR",G7),المدخلات!$A$4:$B$9,2,FALSE())*IF(H7="نعم",المدخلات!$B$11,1)</f>
        <v>250</v>
      </c>
      <c r="J7" s="4" t="n">
        <f aca="false">E7*I7</f>
        <v>3000</v>
      </c>
      <c r="K7" s="2" t="s">
        <v>31</v>
      </c>
      <c r="L7" s="2" t="s">
        <v>27</v>
      </c>
      <c r="M7" s="19" t="s">
        <v>136</v>
      </c>
      <c r="N7" s="2" t="s">
        <v>137</v>
      </c>
    </row>
    <row r="8" customFormat="false" ht="15" hidden="false" customHeight="false" outlineLevel="0" collapsed="false">
      <c r="A8" s="2" t="s">
        <v>45</v>
      </c>
      <c r="B8" s="2" t="n">
        <v>4</v>
      </c>
      <c r="C8" s="19" t="s">
        <v>139</v>
      </c>
      <c r="D8" s="2" t="s">
        <v>140</v>
      </c>
      <c r="E8" s="20" t="n">
        <v>2</v>
      </c>
      <c r="F8" s="9" t="n">
        <v>1800</v>
      </c>
      <c r="G8" s="2" t="s">
        <v>89</v>
      </c>
      <c r="H8" s="2" t="s">
        <v>141</v>
      </c>
      <c r="I8" s="4" t="n">
        <f aca="false">F8*VLOOKUP(IF(G8="ر.س","SAR",G8),المدخلات!$A$4:$B$9,2,FALSE())*IF(H8="نعم",المدخلات!$B$11,1)</f>
        <v>7762.5</v>
      </c>
      <c r="J8" s="4" t="n">
        <f aca="false">E8*I8</f>
        <v>15525</v>
      </c>
      <c r="K8" s="2" t="s">
        <v>30</v>
      </c>
      <c r="L8" s="2" t="s">
        <v>27</v>
      </c>
      <c r="M8" s="19" t="s">
        <v>142</v>
      </c>
      <c r="N8" s="2"/>
    </row>
    <row r="9" customFormat="false" ht="15" hidden="false" customHeight="false" outlineLevel="0" collapsed="false">
      <c r="A9" s="2" t="s">
        <v>45</v>
      </c>
      <c r="B9" s="2" t="n">
        <v>5</v>
      </c>
      <c r="C9" s="19" t="s">
        <v>143</v>
      </c>
      <c r="D9" s="2" t="s">
        <v>144</v>
      </c>
      <c r="E9" s="20" t="n">
        <v>1</v>
      </c>
      <c r="F9" s="9" t="n">
        <v>1500</v>
      </c>
      <c r="G9" s="2" t="s">
        <v>89</v>
      </c>
      <c r="H9" s="2" t="s">
        <v>141</v>
      </c>
      <c r="I9" s="4" t="n">
        <f aca="false">F9*VLOOKUP(IF(G9="ر.س","SAR",G9),المدخلات!$A$4:$B$9,2,FALSE())*IF(H9="نعم",المدخلات!$B$11,1)</f>
        <v>6468.75</v>
      </c>
      <c r="J9" s="4" t="n">
        <f aca="false">E9*I9</f>
        <v>6468.75</v>
      </c>
      <c r="K9" s="2" t="s">
        <v>30</v>
      </c>
      <c r="L9" s="2" t="s">
        <v>27</v>
      </c>
      <c r="M9" s="19" t="s">
        <v>145</v>
      </c>
      <c r="N9" s="2"/>
    </row>
    <row r="10" customFormat="false" ht="15" hidden="false" customHeight="false" outlineLevel="0" collapsed="false">
      <c r="A10" s="2" t="s">
        <v>45</v>
      </c>
      <c r="B10" s="2" t="n">
        <v>6</v>
      </c>
      <c r="C10" s="19" t="s">
        <v>146</v>
      </c>
      <c r="D10" s="2" t="s">
        <v>144</v>
      </c>
      <c r="E10" s="20" t="n">
        <v>1</v>
      </c>
      <c r="F10" s="9" t="n">
        <v>1200</v>
      </c>
      <c r="G10" s="2" t="s">
        <v>89</v>
      </c>
      <c r="H10" s="2" t="s">
        <v>141</v>
      </c>
      <c r="I10" s="4" t="n">
        <f aca="false">F10*VLOOKUP(IF(G10="ر.س","SAR",G10),المدخلات!$A$4:$B$9,2,FALSE())*IF(H10="نعم",المدخلات!$B$11,1)</f>
        <v>5175</v>
      </c>
      <c r="J10" s="4" t="n">
        <f aca="false">E10*I10</f>
        <v>5175</v>
      </c>
      <c r="K10" s="2" t="s">
        <v>30</v>
      </c>
      <c r="L10" s="2" t="s">
        <v>27</v>
      </c>
      <c r="M10" s="19" t="s">
        <v>145</v>
      </c>
      <c r="N10" s="2"/>
    </row>
    <row r="11" customFormat="false" ht="15" hidden="false" customHeight="false" outlineLevel="0" collapsed="false">
      <c r="A11" s="2" t="s">
        <v>45</v>
      </c>
      <c r="B11" s="2" t="n">
        <v>7</v>
      </c>
      <c r="C11" s="19" t="s">
        <v>147</v>
      </c>
      <c r="D11" s="2" t="s">
        <v>140</v>
      </c>
      <c r="E11" s="20" t="n">
        <v>5</v>
      </c>
      <c r="F11" s="9" t="n">
        <v>1300</v>
      </c>
      <c r="G11" s="2" t="s">
        <v>130</v>
      </c>
      <c r="H11" s="2" t="s">
        <v>131</v>
      </c>
      <c r="I11" s="4" t="n">
        <f aca="false">F11*VLOOKUP(IF(G11="ر.س","SAR",G11),المدخلات!$A$4:$B$9,2,FALSE())*IF(H11="نعم",المدخلات!$B$11,1)</f>
        <v>1300</v>
      </c>
      <c r="J11" s="4" t="n">
        <f aca="false">E11*I11</f>
        <v>6500</v>
      </c>
      <c r="K11" s="2" t="s">
        <v>30</v>
      </c>
      <c r="L11" s="2" t="s">
        <v>27</v>
      </c>
      <c r="M11" s="19" t="s">
        <v>148</v>
      </c>
      <c r="N11" s="2"/>
    </row>
    <row r="12" customFormat="false" ht="15" hidden="false" customHeight="false" outlineLevel="0" collapsed="false">
      <c r="A12" s="2" t="s">
        <v>45</v>
      </c>
      <c r="B12" s="2" t="n">
        <v>8</v>
      </c>
      <c r="C12" s="19" t="s">
        <v>149</v>
      </c>
      <c r="D12" s="2" t="s">
        <v>140</v>
      </c>
      <c r="E12" s="20" t="n">
        <v>5</v>
      </c>
      <c r="F12" s="9" t="n">
        <v>450</v>
      </c>
      <c r="G12" s="2" t="s">
        <v>130</v>
      </c>
      <c r="H12" s="2" t="s">
        <v>131</v>
      </c>
      <c r="I12" s="4" t="n">
        <f aca="false">F12*VLOOKUP(IF(G12="ر.س","SAR",G12),المدخلات!$A$4:$B$9,2,FALSE())*IF(H12="نعم",المدخلات!$B$11,1)</f>
        <v>450</v>
      </c>
      <c r="J12" s="4" t="n">
        <f aca="false">E12*I12</f>
        <v>2250</v>
      </c>
      <c r="K12" s="2" t="s">
        <v>30</v>
      </c>
      <c r="L12" s="2" t="s">
        <v>27</v>
      </c>
      <c r="M12" s="19" t="s">
        <v>150</v>
      </c>
      <c r="N12" s="2"/>
    </row>
    <row r="13" customFormat="false" ht="15" hidden="false" customHeight="false" outlineLevel="0" collapsed="false">
      <c r="A13" s="2" t="s">
        <v>45</v>
      </c>
      <c r="B13" s="2" t="n">
        <v>9</v>
      </c>
      <c r="C13" s="19" t="s">
        <v>151</v>
      </c>
      <c r="D13" s="2" t="s">
        <v>144</v>
      </c>
      <c r="E13" s="20" t="n">
        <v>1</v>
      </c>
      <c r="F13" s="9" t="n">
        <v>1400</v>
      </c>
      <c r="G13" s="2" t="s">
        <v>89</v>
      </c>
      <c r="H13" s="2" t="s">
        <v>141</v>
      </c>
      <c r="I13" s="4" t="n">
        <f aca="false">F13*VLOOKUP(IF(G13="ر.س","SAR",G13),المدخلات!$A$4:$B$9,2,FALSE())*IF(H13="نعم",المدخلات!$B$11,1)</f>
        <v>6037.5</v>
      </c>
      <c r="J13" s="4" t="n">
        <f aca="false">E13*I13</f>
        <v>6037.5</v>
      </c>
      <c r="K13" s="2" t="s">
        <v>30</v>
      </c>
      <c r="L13" s="2" t="s">
        <v>25</v>
      </c>
      <c r="M13" s="19" t="s">
        <v>152</v>
      </c>
      <c r="N13" s="2" t="s">
        <v>153</v>
      </c>
    </row>
    <row r="14" customFormat="false" ht="15" hidden="false" customHeight="false" outlineLevel="0" collapsed="false">
      <c r="A14" s="2" t="s">
        <v>45</v>
      </c>
      <c r="B14" s="2" t="n">
        <v>10</v>
      </c>
      <c r="C14" s="19" t="s">
        <v>154</v>
      </c>
      <c r="D14" s="2" t="s">
        <v>140</v>
      </c>
      <c r="E14" s="20" t="n">
        <v>4</v>
      </c>
      <c r="F14" s="9" t="n">
        <v>2500</v>
      </c>
      <c r="G14" s="2" t="s">
        <v>130</v>
      </c>
      <c r="H14" s="2" t="s">
        <v>131</v>
      </c>
      <c r="I14" s="4" t="n">
        <f aca="false">F14*VLOOKUP(IF(G14="ر.س","SAR",G14),المدخلات!$A$4:$B$9,2,FALSE())*IF(H14="نعم",المدخلات!$B$11,1)</f>
        <v>2500</v>
      </c>
      <c r="J14" s="4" t="n">
        <f aca="false">E14*I14</f>
        <v>10000</v>
      </c>
      <c r="K14" s="2" t="s">
        <v>30</v>
      </c>
      <c r="L14" s="2" t="s">
        <v>27</v>
      </c>
      <c r="M14" s="19" t="s">
        <v>145</v>
      </c>
      <c r="N14" s="2"/>
    </row>
    <row r="15" customFormat="false" ht="15" hidden="false" customHeight="false" outlineLevel="0" collapsed="false">
      <c r="A15" s="2" t="s">
        <v>45</v>
      </c>
      <c r="B15" s="2" t="n">
        <v>11</v>
      </c>
      <c r="C15" s="19" t="s">
        <v>155</v>
      </c>
      <c r="D15" s="2" t="s">
        <v>144</v>
      </c>
      <c r="E15" s="20" t="n">
        <v>1</v>
      </c>
      <c r="F15" s="9" t="n">
        <v>1200</v>
      </c>
      <c r="G15" s="2" t="s">
        <v>130</v>
      </c>
      <c r="H15" s="2" t="s">
        <v>131</v>
      </c>
      <c r="I15" s="4" t="n">
        <f aca="false">F15*VLOOKUP(IF(G15="ر.س","SAR",G15),المدخلات!$A$4:$B$9,2,FALSE())*IF(H15="نعم",المدخلات!$B$11,1)</f>
        <v>1200</v>
      </c>
      <c r="J15" s="4" t="n">
        <f aca="false">E15*I15</f>
        <v>1200</v>
      </c>
      <c r="K15" s="2" t="s">
        <v>30</v>
      </c>
      <c r="L15" s="2" t="s">
        <v>27</v>
      </c>
      <c r="M15" s="19" t="s">
        <v>150</v>
      </c>
      <c r="N15" s="2"/>
    </row>
    <row r="16" customFormat="false" ht="15" hidden="false" customHeight="false" outlineLevel="0" collapsed="false">
      <c r="A16" s="2" t="s">
        <v>45</v>
      </c>
      <c r="B16" s="2" t="n">
        <v>12</v>
      </c>
      <c r="C16" s="19" t="s">
        <v>156</v>
      </c>
      <c r="D16" s="2" t="s">
        <v>144</v>
      </c>
      <c r="E16" s="20" t="n">
        <v>1</v>
      </c>
      <c r="F16" s="9" t="n">
        <v>4500</v>
      </c>
      <c r="G16" s="2" t="s">
        <v>130</v>
      </c>
      <c r="H16" s="2" t="s">
        <v>131</v>
      </c>
      <c r="I16" s="4" t="n">
        <f aca="false">F16*VLOOKUP(IF(G16="ر.س","SAR",G16),المدخلات!$A$4:$B$9,2,FALSE())*IF(H16="نعم",المدخلات!$B$11,1)</f>
        <v>4500</v>
      </c>
      <c r="J16" s="4" t="n">
        <f aca="false">E16*I16</f>
        <v>4500</v>
      </c>
      <c r="K16" s="2" t="s">
        <v>30</v>
      </c>
      <c r="L16" s="2" t="s">
        <v>27</v>
      </c>
      <c r="M16" s="19" t="s">
        <v>150</v>
      </c>
      <c r="N16" s="2"/>
    </row>
    <row r="17" customFormat="false" ht="15" hidden="false" customHeight="false" outlineLevel="0" collapsed="false">
      <c r="A17" s="2" t="s">
        <v>45</v>
      </c>
      <c r="B17" s="2" t="n">
        <v>13</v>
      </c>
      <c r="C17" s="19" t="s">
        <v>157</v>
      </c>
      <c r="D17" s="2" t="s">
        <v>140</v>
      </c>
      <c r="E17" s="20" t="n">
        <v>4</v>
      </c>
      <c r="F17" s="9" t="n">
        <v>1200</v>
      </c>
      <c r="G17" s="2" t="s">
        <v>130</v>
      </c>
      <c r="H17" s="2" t="s">
        <v>131</v>
      </c>
      <c r="I17" s="4" t="n">
        <f aca="false">F17*VLOOKUP(IF(G17="ر.س","SAR",G17),المدخلات!$A$4:$B$9,2,FALSE())*IF(H17="نعم",المدخلات!$B$11,1)</f>
        <v>1200</v>
      </c>
      <c r="J17" s="4" t="n">
        <f aca="false">E17*I17</f>
        <v>4800</v>
      </c>
      <c r="K17" s="2" t="s">
        <v>30</v>
      </c>
      <c r="L17" s="2" t="s">
        <v>27</v>
      </c>
      <c r="M17" s="19" t="s">
        <v>150</v>
      </c>
      <c r="N17" s="2"/>
    </row>
    <row r="18" customFormat="false" ht="15" hidden="false" customHeight="false" outlineLevel="0" collapsed="false">
      <c r="A18" s="2" t="s">
        <v>45</v>
      </c>
      <c r="B18" s="2" t="n">
        <v>14</v>
      </c>
      <c r="C18" s="19" t="s">
        <v>158</v>
      </c>
      <c r="D18" s="2" t="s">
        <v>159</v>
      </c>
      <c r="E18" s="20" t="n">
        <v>1</v>
      </c>
      <c r="F18" s="9" t="n">
        <v>4000</v>
      </c>
      <c r="G18" s="2" t="s">
        <v>130</v>
      </c>
      <c r="H18" s="2" t="s">
        <v>131</v>
      </c>
      <c r="I18" s="4" t="n">
        <f aca="false">F18*VLOOKUP(IF(G18="ر.س","SAR",G18),المدخلات!$A$4:$B$9,2,FALSE())*IF(H18="نعم",المدخلات!$B$11,1)</f>
        <v>4000</v>
      </c>
      <c r="J18" s="4" t="n">
        <f aca="false">E18*I18</f>
        <v>4000</v>
      </c>
      <c r="K18" s="2" t="s">
        <v>32</v>
      </c>
      <c r="L18" s="2" t="s">
        <v>27</v>
      </c>
      <c r="M18" s="19" t="s">
        <v>150</v>
      </c>
      <c r="N18" s="2"/>
    </row>
    <row r="19" customFormat="false" ht="15" hidden="false" customHeight="false" outlineLevel="0" collapsed="false">
      <c r="A19" s="22"/>
      <c r="B19" s="22"/>
      <c r="C19" s="23" t="s">
        <v>160</v>
      </c>
      <c r="D19" s="22"/>
      <c r="E19" s="22"/>
      <c r="F19" s="22"/>
      <c r="G19" s="22"/>
      <c r="H19" s="22"/>
      <c r="I19" s="22"/>
      <c r="J19" s="24" t="n">
        <f aca="false">SUMIF($A$4:$A$18,"01",$J$4:$J$18)</f>
        <v>96996.25</v>
      </c>
      <c r="K19" s="22"/>
      <c r="L19" s="22"/>
      <c r="M19" s="22"/>
      <c r="N19" s="2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17"/>
      <c r="B21" s="17"/>
      <c r="C21" s="18" t="s">
        <v>161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5" hidden="false" customHeight="false" outlineLevel="0" collapsed="false">
      <c r="A22" s="2" t="s">
        <v>47</v>
      </c>
      <c r="B22" s="2" t="n">
        <v>1</v>
      </c>
      <c r="C22" s="19" t="s">
        <v>162</v>
      </c>
      <c r="D22" s="2" t="s">
        <v>129</v>
      </c>
      <c r="E22" s="20" t="n">
        <v>1.35</v>
      </c>
      <c r="F22" s="9" t="n">
        <v>4200</v>
      </c>
      <c r="G22" s="2" t="s">
        <v>130</v>
      </c>
      <c r="H22" s="2" t="s">
        <v>131</v>
      </c>
      <c r="I22" s="4" t="n">
        <f aca="false">F22*VLOOKUP(IF(G22="ر.س","SAR",G22),المدخلات!$A$4:$B$9,2,FALSE())*IF(H22="نعم",المدخلات!$B$11,1)</f>
        <v>4200</v>
      </c>
      <c r="J22" s="4" t="n">
        <f aca="false">E22*I22</f>
        <v>5670</v>
      </c>
      <c r="K22" s="2" t="s">
        <v>30</v>
      </c>
      <c r="L22" s="2" t="s">
        <v>27</v>
      </c>
      <c r="M22" s="19" t="s">
        <v>163</v>
      </c>
      <c r="N22" s="2" t="s">
        <v>133</v>
      </c>
    </row>
    <row r="23" customFormat="false" ht="26.85" hidden="false" customHeight="false" outlineLevel="0" collapsed="false">
      <c r="A23" s="2" t="s">
        <v>47</v>
      </c>
      <c r="B23" s="2" t="n">
        <v>2</v>
      </c>
      <c r="C23" s="19" t="s">
        <v>164</v>
      </c>
      <c r="D23" s="2" t="s">
        <v>165</v>
      </c>
      <c r="E23" s="20" t="n">
        <v>98</v>
      </c>
      <c r="F23" s="9" t="n">
        <v>140</v>
      </c>
      <c r="G23" s="2" t="s">
        <v>130</v>
      </c>
      <c r="H23" s="2" t="s">
        <v>131</v>
      </c>
      <c r="I23" s="4" t="n">
        <f aca="false">F23*VLOOKUP(IF(G23="ر.س","SAR",G23),المدخلات!$A$4:$B$9,2,FALSE())*IF(H23="نعم",المدخلات!$B$11,1)</f>
        <v>140</v>
      </c>
      <c r="J23" s="4" t="n">
        <f aca="false">E23*I23</f>
        <v>13720</v>
      </c>
      <c r="K23" s="2" t="s">
        <v>30</v>
      </c>
      <c r="L23" s="2" t="s">
        <v>26</v>
      </c>
      <c r="M23" s="19" t="s">
        <v>166</v>
      </c>
      <c r="N23" s="2" t="s">
        <v>167</v>
      </c>
    </row>
    <row r="24" customFormat="false" ht="15" hidden="false" customHeight="false" outlineLevel="0" collapsed="false">
      <c r="A24" s="2" t="s">
        <v>47</v>
      </c>
      <c r="B24" s="2" t="n">
        <v>3</v>
      </c>
      <c r="C24" s="19" t="s">
        <v>168</v>
      </c>
      <c r="D24" s="2" t="s">
        <v>165</v>
      </c>
      <c r="E24" s="20" t="n">
        <v>60</v>
      </c>
      <c r="F24" s="9" t="n">
        <v>30</v>
      </c>
      <c r="G24" s="2" t="s">
        <v>130</v>
      </c>
      <c r="H24" s="2" t="s">
        <v>131</v>
      </c>
      <c r="I24" s="4" t="n">
        <f aca="false">F24*VLOOKUP(IF(G24="ر.س","SAR",G24),المدخلات!$A$4:$B$9,2,FALSE())*IF(H24="نعم",المدخلات!$B$11,1)</f>
        <v>30</v>
      </c>
      <c r="J24" s="4" t="n">
        <f aca="false">E24*I24</f>
        <v>1800</v>
      </c>
      <c r="K24" s="2" t="s">
        <v>30</v>
      </c>
      <c r="L24" s="2" t="s">
        <v>24</v>
      </c>
      <c r="M24" s="19" t="s">
        <v>169</v>
      </c>
      <c r="N24" s="2" t="s">
        <v>170</v>
      </c>
    </row>
    <row r="25" customFormat="false" ht="15" hidden="false" customHeight="false" outlineLevel="0" collapsed="false">
      <c r="A25" s="2" t="s">
        <v>47</v>
      </c>
      <c r="B25" s="2" t="n">
        <v>4</v>
      </c>
      <c r="C25" s="19" t="s">
        <v>171</v>
      </c>
      <c r="D25" s="2" t="s">
        <v>129</v>
      </c>
      <c r="E25" s="20" t="n">
        <v>0.5</v>
      </c>
      <c r="F25" s="9" t="n">
        <v>5000</v>
      </c>
      <c r="G25" s="2" t="s">
        <v>130</v>
      </c>
      <c r="H25" s="2" t="s">
        <v>131</v>
      </c>
      <c r="I25" s="4" t="n">
        <f aca="false">F25*VLOOKUP(IF(G25="ر.س","SAR",G25),المدخلات!$A$4:$B$9,2,FALSE())*IF(H25="نعم",المدخلات!$B$11,1)</f>
        <v>5000</v>
      </c>
      <c r="J25" s="4" t="n">
        <f aca="false">E25*I25</f>
        <v>2500</v>
      </c>
      <c r="K25" s="2" t="s">
        <v>30</v>
      </c>
      <c r="L25" s="2" t="s">
        <v>27</v>
      </c>
      <c r="M25" s="19" t="s">
        <v>150</v>
      </c>
      <c r="N25" s="2"/>
    </row>
    <row r="26" customFormat="false" ht="15" hidden="false" customHeight="false" outlineLevel="0" collapsed="false">
      <c r="A26" s="2" t="s">
        <v>47</v>
      </c>
      <c r="B26" s="2" t="n">
        <v>5</v>
      </c>
      <c r="C26" s="19" t="s">
        <v>172</v>
      </c>
      <c r="D26" s="2" t="s">
        <v>173</v>
      </c>
      <c r="E26" s="20" t="n">
        <v>11</v>
      </c>
      <c r="F26" s="9" t="n">
        <v>220</v>
      </c>
      <c r="G26" s="2" t="s">
        <v>130</v>
      </c>
      <c r="H26" s="2" t="s">
        <v>131</v>
      </c>
      <c r="I26" s="4" t="n">
        <f aca="false">F26*VLOOKUP(IF(G26="ر.س","SAR",G26),المدخلات!$A$4:$B$9,2,FALSE())*IF(H26="نعم",المدخلات!$B$11,1)</f>
        <v>220</v>
      </c>
      <c r="J26" s="4" t="n">
        <f aca="false">E26*I26</f>
        <v>2420</v>
      </c>
      <c r="K26" s="2" t="s">
        <v>30</v>
      </c>
      <c r="L26" s="2" t="s">
        <v>27</v>
      </c>
      <c r="M26" s="19" t="s">
        <v>174</v>
      </c>
      <c r="N26" s="2"/>
    </row>
    <row r="27" customFormat="false" ht="15" hidden="false" customHeight="false" outlineLevel="0" collapsed="false">
      <c r="A27" s="2" t="s">
        <v>47</v>
      </c>
      <c r="B27" s="2" t="n">
        <v>6</v>
      </c>
      <c r="C27" s="19" t="s">
        <v>175</v>
      </c>
      <c r="D27" s="2" t="s">
        <v>165</v>
      </c>
      <c r="E27" s="20" t="n">
        <v>8</v>
      </c>
      <c r="F27" s="9" t="n">
        <v>450</v>
      </c>
      <c r="G27" s="2" t="s">
        <v>130</v>
      </c>
      <c r="H27" s="2" t="s">
        <v>131</v>
      </c>
      <c r="I27" s="4" t="n">
        <f aca="false">F27*VLOOKUP(IF(G27="ر.س","SAR",G27),المدخلات!$A$4:$B$9,2,FALSE())*IF(H27="نعم",المدخلات!$B$11,1)</f>
        <v>450</v>
      </c>
      <c r="J27" s="4" t="n">
        <f aca="false">E27*I27</f>
        <v>3600</v>
      </c>
      <c r="K27" s="2" t="s">
        <v>30</v>
      </c>
      <c r="L27" s="2" t="s">
        <v>27</v>
      </c>
      <c r="M27" s="19" t="s">
        <v>150</v>
      </c>
      <c r="N27" s="2"/>
    </row>
    <row r="28" customFormat="false" ht="15" hidden="false" customHeight="false" outlineLevel="0" collapsed="false">
      <c r="A28" s="2" t="s">
        <v>47</v>
      </c>
      <c r="B28" s="2" t="n">
        <v>7</v>
      </c>
      <c r="C28" s="19" t="s">
        <v>176</v>
      </c>
      <c r="D28" s="2" t="s">
        <v>165</v>
      </c>
      <c r="E28" s="20" t="n">
        <v>18</v>
      </c>
      <c r="F28" s="9" t="n">
        <v>220</v>
      </c>
      <c r="G28" s="2" t="s">
        <v>130</v>
      </c>
      <c r="H28" s="2" t="s">
        <v>131</v>
      </c>
      <c r="I28" s="4" t="n">
        <f aca="false">F28*VLOOKUP(IF(G28="ر.س","SAR",G28),المدخلات!$A$4:$B$9,2,FALSE())*IF(H28="نعم",المدخلات!$B$11,1)</f>
        <v>220</v>
      </c>
      <c r="J28" s="4" t="n">
        <f aca="false">E28*I28</f>
        <v>3960</v>
      </c>
      <c r="K28" s="2" t="s">
        <v>30</v>
      </c>
      <c r="L28" s="2" t="s">
        <v>27</v>
      </c>
      <c r="M28" s="19" t="s">
        <v>150</v>
      </c>
      <c r="N28" s="2"/>
    </row>
    <row r="29" customFormat="false" ht="15" hidden="false" customHeight="false" outlineLevel="0" collapsed="false">
      <c r="A29" s="2" t="s">
        <v>47</v>
      </c>
      <c r="B29" s="2" t="n">
        <v>8</v>
      </c>
      <c r="C29" s="19" t="s">
        <v>177</v>
      </c>
      <c r="D29" s="2" t="s">
        <v>165</v>
      </c>
      <c r="E29" s="20" t="n">
        <v>30</v>
      </c>
      <c r="F29" s="9" t="n">
        <v>60</v>
      </c>
      <c r="G29" s="2" t="s">
        <v>130</v>
      </c>
      <c r="H29" s="2" t="s">
        <v>131</v>
      </c>
      <c r="I29" s="4" t="n">
        <f aca="false">F29*VLOOKUP(IF(G29="ر.س","SAR",G29),المدخلات!$A$4:$B$9,2,FALSE())*IF(H29="نعم",المدخلات!$B$11,1)</f>
        <v>60</v>
      </c>
      <c r="J29" s="4" t="n">
        <f aca="false">E29*I29</f>
        <v>1800</v>
      </c>
      <c r="K29" s="2" t="s">
        <v>30</v>
      </c>
      <c r="L29" s="2" t="s">
        <v>27</v>
      </c>
      <c r="M29" s="19" t="s">
        <v>150</v>
      </c>
      <c r="N29" s="2"/>
    </row>
    <row r="30" customFormat="false" ht="15" hidden="false" customHeight="false" outlineLevel="0" collapsed="false">
      <c r="A30" s="2" t="s">
        <v>47</v>
      </c>
      <c r="B30" s="2" t="n">
        <v>9</v>
      </c>
      <c r="C30" s="19" t="s">
        <v>178</v>
      </c>
      <c r="D30" s="2" t="s">
        <v>165</v>
      </c>
      <c r="E30" s="20" t="n">
        <v>70</v>
      </c>
      <c r="F30" s="9" t="n">
        <v>45</v>
      </c>
      <c r="G30" s="2" t="s">
        <v>130</v>
      </c>
      <c r="H30" s="2" t="s">
        <v>131</v>
      </c>
      <c r="I30" s="4" t="n">
        <f aca="false">F30*VLOOKUP(IF(G30="ر.س","SAR",G30),المدخلات!$A$4:$B$9,2,FALSE())*IF(H30="نعم",المدخلات!$B$11,1)</f>
        <v>45</v>
      </c>
      <c r="J30" s="4" t="n">
        <f aca="false">E30*I30</f>
        <v>3150</v>
      </c>
      <c r="K30" s="2" t="s">
        <v>30</v>
      </c>
      <c r="L30" s="2" t="s">
        <v>27</v>
      </c>
      <c r="M30" s="19" t="s">
        <v>150</v>
      </c>
      <c r="N30" s="2"/>
    </row>
    <row r="31" customFormat="false" ht="15" hidden="false" customHeight="false" outlineLevel="0" collapsed="false">
      <c r="A31" s="2" t="s">
        <v>47</v>
      </c>
      <c r="B31" s="2" t="n">
        <v>10</v>
      </c>
      <c r="C31" s="19" t="s">
        <v>179</v>
      </c>
      <c r="D31" s="2" t="s">
        <v>165</v>
      </c>
      <c r="E31" s="20" t="n">
        <v>30</v>
      </c>
      <c r="F31" s="9" t="n">
        <v>110</v>
      </c>
      <c r="G31" s="2" t="s">
        <v>130</v>
      </c>
      <c r="H31" s="2" t="s">
        <v>131</v>
      </c>
      <c r="I31" s="4" t="n">
        <f aca="false">F31*VLOOKUP(IF(G31="ر.س","SAR",G31),المدخلات!$A$4:$B$9,2,FALSE())*IF(H31="نعم",المدخلات!$B$11,1)</f>
        <v>110</v>
      </c>
      <c r="J31" s="4" t="n">
        <f aca="false">E31*I31</f>
        <v>3300</v>
      </c>
      <c r="K31" s="2" t="s">
        <v>30</v>
      </c>
      <c r="L31" s="2" t="s">
        <v>27</v>
      </c>
      <c r="M31" s="19" t="s">
        <v>150</v>
      </c>
      <c r="N31" s="2"/>
    </row>
    <row r="32" customFormat="false" ht="15" hidden="false" customHeight="false" outlineLevel="0" collapsed="false">
      <c r="A32" s="2" t="s">
        <v>47</v>
      </c>
      <c r="B32" s="2" t="n">
        <v>11</v>
      </c>
      <c r="C32" s="19" t="s">
        <v>180</v>
      </c>
      <c r="D32" s="2" t="s">
        <v>159</v>
      </c>
      <c r="E32" s="20" t="n">
        <v>1</v>
      </c>
      <c r="F32" s="9" t="n">
        <v>3500</v>
      </c>
      <c r="G32" s="2" t="s">
        <v>130</v>
      </c>
      <c r="H32" s="2" t="s">
        <v>131</v>
      </c>
      <c r="I32" s="4" t="n">
        <f aca="false">F32*VLOOKUP(IF(G32="ر.س","SAR",G32),المدخلات!$A$4:$B$9,2,FALSE())*IF(H32="نعم",المدخلات!$B$11,1)</f>
        <v>3500</v>
      </c>
      <c r="J32" s="4" t="n">
        <f aca="false">E32*I32</f>
        <v>3500</v>
      </c>
      <c r="K32" s="2" t="s">
        <v>30</v>
      </c>
      <c r="L32" s="2" t="s">
        <v>27</v>
      </c>
      <c r="M32" s="19" t="s">
        <v>150</v>
      </c>
      <c r="N32" s="2"/>
    </row>
    <row r="33" customFormat="false" ht="15" hidden="false" customHeight="false" outlineLevel="0" collapsed="false">
      <c r="A33" s="2" t="s">
        <v>47</v>
      </c>
      <c r="B33" s="2" t="n">
        <v>12</v>
      </c>
      <c r="C33" s="19" t="s">
        <v>181</v>
      </c>
      <c r="D33" s="2" t="s">
        <v>135</v>
      </c>
      <c r="E33" s="20" t="n">
        <v>100</v>
      </c>
      <c r="F33" s="21" t="n">
        <f aca="false">المدخلات!$B$13</f>
        <v>380</v>
      </c>
      <c r="G33" s="2" t="s">
        <v>130</v>
      </c>
      <c r="H33" s="2" t="s">
        <v>131</v>
      </c>
      <c r="I33" s="4" t="n">
        <f aca="false">F33*VLOOKUP(IF(G33="ر.س","SAR",G33),المدخلات!$A$4:$B$9,2,FALSE())*IF(H33="نعم",المدخلات!$B$11,1)</f>
        <v>380</v>
      </c>
      <c r="J33" s="4" t="n">
        <f aca="false">E33*I33</f>
        <v>38000</v>
      </c>
      <c r="K33" s="2" t="s">
        <v>31</v>
      </c>
      <c r="L33" s="2" t="s">
        <v>27</v>
      </c>
      <c r="M33" s="19" t="s">
        <v>182</v>
      </c>
      <c r="N33" s="2" t="s">
        <v>137</v>
      </c>
    </row>
    <row r="34" customFormat="false" ht="15" hidden="false" customHeight="false" outlineLevel="0" collapsed="false">
      <c r="A34" s="2" t="s">
        <v>47</v>
      </c>
      <c r="B34" s="2" t="n">
        <v>13</v>
      </c>
      <c r="C34" s="19" t="s">
        <v>183</v>
      </c>
      <c r="D34" s="2" t="s">
        <v>135</v>
      </c>
      <c r="E34" s="20" t="n">
        <v>50</v>
      </c>
      <c r="F34" s="21" t="n">
        <f aca="false">المدخلات!$B$14</f>
        <v>250</v>
      </c>
      <c r="G34" s="2" t="s">
        <v>130</v>
      </c>
      <c r="H34" s="2" t="s">
        <v>131</v>
      </c>
      <c r="I34" s="4" t="n">
        <f aca="false">F34*VLOOKUP(IF(G34="ر.س","SAR",G34),المدخلات!$A$4:$B$9,2,FALSE())*IF(H34="نعم",المدخلات!$B$11,1)</f>
        <v>250</v>
      </c>
      <c r="J34" s="4" t="n">
        <f aca="false">E34*I34</f>
        <v>12500</v>
      </c>
      <c r="K34" s="2" t="s">
        <v>31</v>
      </c>
      <c r="L34" s="2" t="s">
        <v>27</v>
      </c>
      <c r="M34" s="19" t="s">
        <v>182</v>
      </c>
      <c r="N34" s="2" t="s">
        <v>137</v>
      </c>
    </row>
    <row r="35" customFormat="false" ht="15" hidden="false" customHeight="false" outlineLevel="0" collapsed="false">
      <c r="A35" s="22"/>
      <c r="B35" s="22"/>
      <c r="C35" s="23" t="s">
        <v>184</v>
      </c>
      <c r="D35" s="22"/>
      <c r="E35" s="22"/>
      <c r="F35" s="22"/>
      <c r="G35" s="22"/>
      <c r="H35" s="22"/>
      <c r="I35" s="22"/>
      <c r="J35" s="24" t="n">
        <f aca="false">SUMIF($A$4:$A$34,"02",$J$4:$J$34)</f>
        <v>95920</v>
      </c>
      <c r="K35" s="22"/>
      <c r="L35" s="22"/>
      <c r="M35" s="22"/>
      <c r="N35" s="2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17"/>
      <c r="B37" s="17"/>
      <c r="C37" s="18" t="s">
        <v>185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customFormat="false" ht="15" hidden="false" customHeight="false" outlineLevel="0" collapsed="false">
      <c r="A38" s="2" t="s">
        <v>49</v>
      </c>
      <c r="B38" s="2" t="n">
        <v>1</v>
      </c>
      <c r="C38" s="19" t="s">
        <v>186</v>
      </c>
      <c r="D38" s="2" t="s">
        <v>140</v>
      </c>
      <c r="E38" s="20" t="n">
        <v>1</v>
      </c>
      <c r="F38" s="9" t="n">
        <v>6500</v>
      </c>
      <c r="G38" s="2" t="s">
        <v>130</v>
      </c>
      <c r="H38" s="2" t="s">
        <v>131</v>
      </c>
      <c r="I38" s="4" t="n">
        <f aca="false">F38*VLOOKUP(IF(G38="ر.س","SAR",G38),المدخلات!$A$4:$B$9,2,FALSE())*IF(H38="نعم",المدخلات!$B$11,1)</f>
        <v>6500</v>
      </c>
      <c r="J38" s="4" t="n">
        <f aca="false">E38*I38</f>
        <v>6500</v>
      </c>
      <c r="K38" s="2" t="s">
        <v>30</v>
      </c>
      <c r="L38" s="2" t="s">
        <v>27</v>
      </c>
      <c r="M38" s="19" t="s">
        <v>150</v>
      </c>
      <c r="N38" s="2"/>
    </row>
    <row r="39" customFormat="false" ht="15" hidden="false" customHeight="false" outlineLevel="0" collapsed="false">
      <c r="A39" s="2" t="s">
        <v>49</v>
      </c>
      <c r="B39" s="2" t="n">
        <v>2</v>
      </c>
      <c r="C39" s="19" t="s">
        <v>187</v>
      </c>
      <c r="D39" s="2" t="s">
        <v>140</v>
      </c>
      <c r="E39" s="20" t="n">
        <v>1</v>
      </c>
      <c r="F39" s="9" t="n">
        <v>6000</v>
      </c>
      <c r="G39" s="2" t="s">
        <v>130</v>
      </c>
      <c r="H39" s="2" t="s">
        <v>131</v>
      </c>
      <c r="I39" s="4" t="n">
        <f aca="false">F39*VLOOKUP(IF(G39="ر.س","SAR",G39),المدخلات!$A$4:$B$9,2,FALSE())*IF(H39="نعم",المدخلات!$B$11,1)</f>
        <v>6000</v>
      </c>
      <c r="J39" s="4" t="n">
        <f aca="false">E39*I39</f>
        <v>6000</v>
      </c>
      <c r="K39" s="2" t="s">
        <v>30</v>
      </c>
      <c r="L39" s="2" t="s">
        <v>27</v>
      </c>
      <c r="M39" s="19" t="s">
        <v>150</v>
      </c>
      <c r="N39" s="2"/>
    </row>
    <row r="40" customFormat="false" ht="15" hidden="false" customHeight="false" outlineLevel="0" collapsed="false">
      <c r="A40" s="2" t="s">
        <v>49</v>
      </c>
      <c r="B40" s="2" t="n">
        <v>3</v>
      </c>
      <c r="C40" s="19" t="s">
        <v>188</v>
      </c>
      <c r="D40" s="2" t="s">
        <v>140</v>
      </c>
      <c r="E40" s="20" t="n">
        <v>1</v>
      </c>
      <c r="F40" s="9" t="n">
        <v>4500</v>
      </c>
      <c r="G40" s="2" t="s">
        <v>130</v>
      </c>
      <c r="H40" s="2" t="s">
        <v>131</v>
      </c>
      <c r="I40" s="4" t="n">
        <f aca="false">F40*VLOOKUP(IF(G40="ر.س","SAR",G40),المدخلات!$A$4:$B$9,2,FALSE())*IF(H40="نعم",المدخلات!$B$11,1)</f>
        <v>4500</v>
      </c>
      <c r="J40" s="4" t="n">
        <f aca="false">E40*I40</f>
        <v>4500</v>
      </c>
      <c r="K40" s="2" t="s">
        <v>30</v>
      </c>
      <c r="L40" s="2" t="s">
        <v>27</v>
      </c>
      <c r="M40" s="19" t="s">
        <v>150</v>
      </c>
      <c r="N40" s="2"/>
    </row>
    <row r="41" customFormat="false" ht="15" hidden="false" customHeight="false" outlineLevel="0" collapsed="false">
      <c r="A41" s="2" t="s">
        <v>49</v>
      </c>
      <c r="B41" s="2" t="n">
        <v>4</v>
      </c>
      <c r="C41" s="19" t="s">
        <v>189</v>
      </c>
      <c r="D41" s="2" t="s">
        <v>140</v>
      </c>
      <c r="E41" s="20" t="n">
        <v>1</v>
      </c>
      <c r="F41" s="9" t="n">
        <v>3800</v>
      </c>
      <c r="G41" s="2" t="s">
        <v>130</v>
      </c>
      <c r="H41" s="2" t="s">
        <v>131</v>
      </c>
      <c r="I41" s="4" t="n">
        <f aca="false">F41*VLOOKUP(IF(G41="ر.س","SAR",G41),المدخلات!$A$4:$B$9,2,FALSE())*IF(H41="نعم",المدخلات!$B$11,1)</f>
        <v>3800</v>
      </c>
      <c r="J41" s="4" t="n">
        <f aca="false">E41*I41</f>
        <v>3800</v>
      </c>
      <c r="K41" s="2" t="s">
        <v>30</v>
      </c>
      <c r="L41" s="2" t="s">
        <v>27</v>
      </c>
      <c r="M41" s="19" t="s">
        <v>150</v>
      </c>
      <c r="N41" s="2"/>
    </row>
    <row r="42" customFormat="false" ht="15" hidden="false" customHeight="false" outlineLevel="0" collapsed="false">
      <c r="A42" s="2" t="s">
        <v>49</v>
      </c>
      <c r="B42" s="2" t="n">
        <v>5</v>
      </c>
      <c r="C42" s="19" t="s">
        <v>190</v>
      </c>
      <c r="D42" s="2" t="s">
        <v>140</v>
      </c>
      <c r="E42" s="20" t="n">
        <v>2</v>
      </c>
      <c r="F42" s="9" t="n">
        <v>1400</v>
      </c>
      <c r="G42" s="2" t="s">
        <v>130</v>
      </c>
      <c r="H42" s="2" t="s">
        <v>131</v>
      </c>
      <c r="I42" s="4" t="n">
        <f aca="false">F42*VLOOKUP(IF(G42="ر.س","SAR",G42),المدخلات!$A$4:$B$9,2,FALSE())*IF(H42="نعم",المدخلات!$B$11,1)</f>
        <v>1400</v>
      </c>
      <c r="J42" s="4" t="n">
        <f aca="false">E42*I42</f>
        <v>2800</v>
      </c>
      <c r="K42" s="2" t="s">
        <v>30</v>
      </c>
      <c r="L42" s="2" t="s">
        <v>27</v>
      </c>
      <c r="M42" s="19" t="s">
        <v>150</v>
      </c>
      <c r="N42" s="2"/>
    </row>
    <row r="43" customFormat="false" ht="15" hidden="false" customHeight="false" outlineLevel="0" collapsed="false">
      <c r="A43" s="2" t="s">
        <v>49</v>
      </c>
      <c r="B43" s="2" t="n">
        <v>6</v>
      </c>
      <c r="C43" s="19" t="s">
        <v>191</v>
      </c>
      <c r="D43" s="2" t="s">
        <v>144</v>
      </c>
      <c r="E43" s="20" t="n">
        <v>1</v>
      </c>
      <c r="F43" s="9" t="n">
        <v>1800</v>
      </c>
      <c r="G43" s="2" t="s">
        <v>130</v>
      </c>
      <c r="H43" s="2" t="s">
        <v>131</v>
      </c>
      <c r="I43" s="4" t="n">
        <f aca="false">F43*VLOOKUP(IF(G43="ر.س","SAR",G43),المدخلات!$A$4:$B$9,2,FALSE())*IF(H43="نعم",المدخلات!$B$11,1)</f>
        <v>1800</v>
      </c>
      <c r="J43" s="4" t="n">
        <f aca="false">E43*I43</f>
        <v>1800</v>
      </c>
      <c r="K43" s="2" t="s">
        <v>30</v>
      </c>
      <c r="L43" s="2" t="s">
        <v>27</v>
      </c>
      <c r="M43" s="19" t="s">
        <v>150</v>
      </c>
      <c r="N43" s="2"/>
    </row>
    <row r="44" customFormat="false" ht="15" hidden="false" customHeight="false" outlineLevel="0" collapsed="false">
      <c r="A44" s="2" t="s">
        <v>49</v>
      </c>
      <c r="B44" s="2" t="n">
        <v>7</v>
      </c>
      <c r="C44" s="19" t="s">
        <v>192</v>
      </c>
      <c r="D44" s="2" t="s">
        <v>140</v>
      </c>
      <c r="E44" s="20" t="n">
        <v>1</v>
      </c>
      <c r="F44" s="9" t="n">
        <v>2600</v>
      </c>
      <c r="G44" s="2" t="s">
        <v>130</v>
      </c>
      <c r="H44" s="2" t="s">
        <v>131</v>
      </c>
      <c r="I44" s="4" t="n">
        <f aca="false">F44*VLOOKUP(IF(G44="ر.س","SAR",G44),المدخلات!$A$4:$B$9,2,FALSE())*IF(H44="نعم",المدخلات!$B$11,1)</f>
        <v>2600</v>
      </c>
      <c r="J44" s="4" t="n">
        <f aca="false">E44*I44</f>
        <v>2600</v>
      </c>
      <c r="K44" s="2" t="s">
        <v>30</v>
      </c>
      <c r="L44" s="2" t="s">
        <v>27</v>
      </c>
      <c r="M44" s="19" t="s">
        <v>150</v>
      </c>
      <c r="N44" s="2"/>
    </row>
    <row r="45" customFormat="false" ht="15" hidden="false" customHeight="false" outlineLevel="0" collapsed="false">
      <c r="A45" s="2" t="s">
        <v>49</v>
      </c>
      <c r="B45" s="2" t="n">
        <v>8</v>
      </c>
      <c r="C45" s="19" t="s">
        <v>193</v>
      </c>
      <c r="D45" s="2" t="s">
        <v>165</v>
      </c>
      <c r="E45" s="20" t="n">
        <v>3.4</v>
      </c>
      <c r="F45" s="9" t="n">
        <v>1400</v>
      </c>
      <c r="G45" s="2" t="s">
        <v>130</v>
      </c>
      <c r="H45" s="2" t="s">
        <v>131</v>
      </c>
      <c r="I45" s="4" t="n">
        <f aca="false">F45*VLOOKUP(IF(G45="ر.س","SAR",G45),المدخلات!$A$4:$B$9,2,FALSE())*IF(H45="نعم",المدخلات!$B$11,1)</f>
        <v>1400</v>
      </c>
      <c r="J45" s="4" t="n">
        <f aca="false">E45*I45</f>
        <v>4760</v>
      </c>
      <c r="K45" s="2" t="s">
        <v>30</v>
      </c>
      <c r="L45" s="2" t="s">
        <v>27</v>
      </c>
      <c r="M45" s="19" t="s">
        <v>150</v>
      </c>
      <c r="N45" s="2"/>
    </row>
    <row r="46" customFormat="false" ht="15" hidden="false" customHeight="false" outlineLevel="0" collapsed="false">
      <c r="A46" s="2" t="s">
        <v>49</v>
      </c>
      <c r="B46" s="2" t="n">
        <v>9</v>
      </c>
      <c r="C46" s="19" t="s">
        <v>194</v>
      </c>
      <c r="D46" s="2" t="s">
        <v>140</v>
      </c>
      <c r="E46" s="20" t="n">
        <v>4</v>
      </c>
      <c r="F46" s="9" t="n">
        <v>900</v>
      </c>
      <c r="G46" s="2" t="s">
        <v>130</v>
      </c>
      <c r="H46" s="2" t="s">
        <v>131</v>
      </c>
      <c r="I46" s="4" t="n">
        <f aca="false">F46*VLOOKUP(IF(G46="ر.س","SAR",G46),المدخلات!$A$4:$B$9,2,FALSE())*IF(H46="نعم",المدخلات!$B$11,1)</f>
        <v>900</v>
      </c>
      <c r="J46" s="4" t="n">
        <f aca="false">E46*I46</f>
        <v>3600</v>
      </c>
      <c r="K46" s="2" t="s">
        <v>30</v>
      </c>
      <c r="L46" s="2" t="s">
        <v>27</v>
      </c>
      <c r="M46" s="19" t="s">
        <v>150</v>
      </c>
      <c r="N46" s="2"/>
    </row>
    <row r="47" customFormat="false" ht="15" hidden="false" customHeight="false" outlineLevel="0" collapsed="false">
      <c r="A47" s="2" t="s">
        <v>49</v>
      </c>
      <c r="B47" s="2" t="n">
        <v>10</v>
      </c>
      <c r="C47" s="19" t="s">
        <v>195</v>
      </c>
      <c r="D47" s="2" t="s">
        <v>135</v>
      </c>
      <c r="E47" s="20" t="n">
        <v>8</v>
      </c>
      <c r="F47" s="21" t="n">
        <f aca="false">المدخلات!$B$13</f>
        <v>380</v>
      </c>
      <c r="G47" s="2" t="s">
        <v>130</v>
      </c>
      <c r="H47" s="2" t="s">
        <v>131</v>
      </c>
      <c r="I47" s="4" t="n">
        <f aca="false">F47*VLOOKUP(IF(G47="ر.س","SAR",G47),المدخلات!$A$4:$B$9,2,FALSE())*IF(H47="نعم",المدخلات!$B$11,1)</f>
        <v>380</v>
      </c>
      <c r="J47" s="4" t="n">
        <f aca="false">E47*I47</f>
        <v>3040</v>
      </c>
      <c r="K47" s="2" t="s">
        <v>31</v>
      </c>
      <c r="L47" s="2" t="s">
        <v>27</v>
      </c>
      <c r="M47" s="19" t="s">
        <v>182</v>
      </c>
      <c r="N47" s="2" t="s">
        <v>137</v>
      </c>
    </row>
    <row r="48" customFormat="false" ht="15" hidden="false" customHeight="false" outlineLevel="0" collapsed="false">
      <c r="A48" s="22"/>
      <c r="B48" s="22"/>
      <c r="C48" s="23" t="s">
        <v>196</v>
      </c>
      <c r="D48" s="22"/>
      <c r="E48" s="22"/>
      <c r="F48" s="22"/>
      <c r="G48" s="22"/>
      <c r="H48" s="22"/>
      <c r="I48" s="22"/>
      <c r="J48" s="24" t="n">
        <f aca="false">SUMIF($A$4:$A$47,"03",$J$4:$J$47)</f>
        <v>39400</v>
      </c>
      <c r="K48" s="22"/>
      <c r="L48" s="22"/>
      <c r="M48" s="22"/>
      <c r="N48" s="2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17"/>
      <c r="B50" s="17"/>
      <c r="C50" s="18" t="s">
        <v>197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customFormat="false" ht="26.85" hidden="false" customHeight="false" outlineLevel="0" collapsed="false">
      <c r="A51" s="2" t="s">
        <v>51</v>
      </c>
      <c r="B51" s="2" t="n">
        <v>1</v>
      </c>
      <c r="C51" s="19" t="s">
        <v>198</v>
      </c>
      <c r="D51" s="2" t="s">
        <v>140</v>
      </c>
      <c r="E51" s="20" t="n">
        <v>1</v>
      </c>
      <c r="F51" s="9" t="n">
        <v>10500</v>
      </c>
      <c r="G51" s="2" t="s">
        <v>89</v>
      </c>
      <c r="H51" s="2" t="s">
        <v>141</v>
      </c>
      <c r="I51" s="4" t="n">
        <f aca="false">F51*VLOOKUP(IF(G51="ر.س","SAR",G51),المدخلات!$A$4:$B$9,2,FALSE())*IF(H51="نعم",المدخلات!$B$11,1)</f>
        <v>45281.25</v>
      </c>
      <c r="J51" s="4" t="n">
        <f aca="false">E51*I51</f>
        <v>45281.25</v>
      </c>
      <c r="K51" s="2" t="s">
        <v>30</v>
      </c>
      <c r="L51" s="2" t="s">
        <v>26</v>
      </c>
      <c r="M51" s="19" t="s">
        <v>199</v>
      </c>
      <c r="N51" s="2" t="s">
        <v>200</v>
      </c>
    </row>
    <row r="52" customFormat="false" ht="15" hidden="false" customHeight="false" outlineLevel="0" collapsed="false">
      <c r="A52" s="2" t="s">
        <v>51</v>
      </c>
      <c r="B52" s="2" t="n">
        <v>2</v>
      </c>
      <c r="C52" s="19" t="s">
        <v>201</v>
      </c>
      <c r="D52" s="2" t="s">
        <v>135</v>
      </c>
      <c r="E52" s="20" t="n">
        <v>6</v>
      </c>
      <c r="F52" s="21" t="n">
        <f aca="false">المدخلات!$B$13</f>
        <v>380</v>
      </c>
      <c r="G52" s="2" t="s">
        <v>130</v>
      </c>
      <c r="H52" s="2" t="s">
        <v>131</v>
      </c>
      <c r="I52" s="4" t="n">
        <f aca="false">F52*VLOOKUP(IF(G52="ر.س","SAR",G52),المدخلات!$A$4:$B$9,2,FALSE())*IF(H52="نعم",المدخلات!$B$11,1)</f>
        <v>380</v>
      </c>
      <c r="J52" s="4" t="n">
        <f aca="false">E52*I52</f>
        <v>2280</v>
      </c>
      <c r="K52" s="2" t="s">
        <v>31</v>
      </c>
      <c r="L52" s="2" t="s">
        <v>27</v>
      </c>
      <c r="M52" s="19" t="s">
        <v>182</v>
      </c>
      <c r="N52" s="2" t="s">
        <v>137</v>
      </c>
    </row>
    <row r="53" customFormat="false" ht="15" hidden="false" customHeight="false" outlineLevel="0" collapsed="false">
      <c r="A53" s="2" t="s">
        <v>51</v>
      </c>
      <c r="B53" s="2" t="n">
        <v>3</v>
      </c>
      <c r="C53" s="19" t="s">
        <v>202</v>
      </c>
      <c r="D53" s="2" t="s">
        <v>144</v>
      </c>
      <c r="E53" s="20" t="n">
        <v>1</v>
      </c>
      <c r="F53" s="9" t="n">
        <v>4500</v>
      </c>
      <c r="G53" s="2" t="s">
        <v>130</v>
      </c>
      <c r="H53" s="2" t="s">
        <v>131</v>
      </c>
      <c r="I53" s="4" t="n">
        <f aca="false">F53*VLOOKUP(IF(G53="ر.س","SAR",G53),المدخلات!$A$4:$B$9,2,FALSE())*IF(H53="نعم",المدخلات!$B$11,1)</f>
        <v>4500</v>
      </c>
      <c r="J53" s="4" t="n">
        <f aca="false">E53*I53</f>
        <v>4500</v>
      </c>
      <c r="K53" s="2" t="s">
        <v>30</v>
      </c>
      <c r="L53" s="2" t="s">
        <v>27</v>
      </c>
      <c r="M53" s="19" t="s">
        <v>150</v>
      </c>
      <c r="N53" s="2"/>
    </row>
    <row r="54" customFormat="false" ht="15" hidden="false" customHeight="false" outlineLevel="0" collapsed="false">
      <c r="A54" s="2" t="s">
        <v>51</v>
      </c>
      <c r="B54" s="2" t="n">
        <v>4</v>
      </c>
      <c r="C54" s="19" t="s">
        <v>203</v>
      </c>
      <c r="D54" s="2" t="s">
        <v>144</v>
      </c>
      <c r="E54" s="20" t="n">
        <v>1</v>
      </c>
      <c r="F54" s="9" t="n">
        <v>3000</v>
      </c>
      <c r="G54" s="2" t="s">
        <v>130</v>
      </c>
      <c r="H54" s="2" t="s">
        <v>131</v>
      </c>
      <c r="I54" s="4" t="n">
        <f aca="false">F54*VLOOKUP(IF(G54="ر.س","SAR",G54),المدخلات!$A$4:$B$9,2,FALSE())*IF(H54="نعم",المدخلات!$B$11,1)</f>
        <v>3000</v>
      </c>
      <c r="J54" s="4" t="n">
        <f aca="false">E54*I54</f>
        <v>3000</v>
      </c>
      <c r="K54" s="2" t="s">
        <v>30</v>
      </c>
      <c r="L54" s="2" t="s">
        <v>27</v>
      </c>
      <c r="M54" s="19" t="s">
        <v>150</v>
      </c>
      <c r="N54" s="2"/>
    </row>
    <row r="55" customFormat="false" ht="15" hidden="false" customHeight="false" outlineLevel="0" collapsed="false">
      <c r="A55" s="22"/>
      <c r="B55" s="22"/>
      <c r="C55" s="23" t="s">
        <v>204</v>
      </c>
      <c r="D55" s="22"/>
      <c r="E55" s="22"/>
      <c r="F55" s="22"/>
      <c r="G55" s="22"/>
      <c r="H55" s="22"/>
      <c r="I55" s="22"/>
      <c r="J55" s="24" t="n">
        <f aca="false">SUMIF($A$4:$A$54,"04",$J$4:$J$54)</f>
        <v>55061.25</v>
      </c>
      <c r="K55" s="22"/>
      <c r="L55" s="22"/>
      <c r="M55" s="22"/>
      <c r="N55" s="2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17"/>
      <c r="B57" s="17"/>
      <c r="C57" s="18" t="s">
        <v>205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customFormat="false" ht="26.85" hidden="false" customHeight="false" outlineLevel="0" collapsed="false">
      <c r="A58" s="2" t="s">
        <v>53</v>
      </c>
      <c r="B58" s="2" t="n">
        <v>1</v>
      </c>
      <c r="C58" s="19" t="s">
        <v>206</v>
      </c>
      <c r="D58" s="2" t="s">
        <v>165</v>
      </c>
      <c r="E58" s="20" t="n">
        <v>30</v>
      </c>
      <c r="F58" s="9" t="n">
        <v>150</v>
      </c>
      <c r="G58" s="2" t="s">
        <v>130</v>
      </c>
      <c r="H58" s="2" t="s">
        <v>131</v>
      </c>
      <c r="I58" s="4" t="n">
        <f aca="false">F58*VLOOKUP(IF(G58="ر.س","SAR",G58),المدخلات!$A$4:$B$9,2,FALSE())*IF(H58="نعم",المدخلات!$B$11,1)</f>
        <v>150</v>
      </c>
      <c r="J58" s="4" t="n">
        <f aca="false">E58*I58</f>
        <v>4500</v>
      </c>
      <c r="K58" s="2" t="s">
        <v>32</v>
      </c>
      <c r="L58" s="2" t="s">
        <v>26</v>
      </c>
      <c r="M58" s="19" t="s">
        <v>207</v>
      </c>
      <c r="N58" s="2" t="s">
        <v>208</v>
      </c>
    </row>
    <row r="59" customFormat="false" ht="15" hidden="false" customHeight="false" outlineLevel="0" collapsed="false">
      <c r="A59" s="2" t="s">
        <v>53</v>
      </c>
      <c r="B59" s="2" t="n">
        <v>2</v>
      </c>
      <c r="C59" s="19" t="s">
        <v>209</v>
      </c>
      <c r="D59" s="2" t="s">
        <v>165</v>
      </c>
      <c r="E59" s="20" t="n">
        <v>70</v>
      </c>
      <c r="F59" s="9" t="n">
        <v>130</v>
      </c>
      <c r="G59" s="2" t="s">
        <v>130</v>
      </c>
      <c r="H59" s="2" t="s">
        <v>131</v>
      </c>
      <c r="I59" s="4" t="n">
        <f aca="false">F59*VLOOKUP(IF(G59="ر.س","SAR",G59),المدخلات!$A$4:$B$9,2,FALSE())*IF(H59="نعم",المدخلات!$B$11,1)</f>
        <v>130</v>
      </c>
      <c r="J59" s="4" t="n">
        <f aca="false">E59*I59</f>
        <v>9100</v>
      </c>
      <c r="K59" s="2" t="s">
        <v>30</v>
      </c>
      <c r="L59" s="2" t="s">
        <v>27</v>
      </c>
      <c r="M59" s="19" t="s">
        <v>150</v>
      </c>
      <c r="N59" s="2"/>
    </row>
    <row r="60" customFormat="false" ht="15" hidden="false" customHeight="false" outlineLevel="0" collapsed="false">
      <c r="A60" s="2" t="s">
        <v>53</v>
      </c>
      <c r="B60" s="2" t="n">
        <v>3</v>
      </c>
      <c r="C60" s="19" t="s">
        <v>210</v>
      </c>
      <c r="D60" s="2" t="s">
        <v>165</v>
      </c>
      <c r="E60" s="20" t="n">
        <v>27</v>
      </c>
      <c r="F60" s="9" t="n">
        <v>90</v>
      </c>
      <c r="G60" s="2" t="s">
        <v>130</v>
      </c>
      <c r="H60" s="2" t="s">
        <v>131</v>
      </c>
      <c r="I60" s="4" t="n">
        <f aca="false">F60*VLOOKUP(IF(G60="ر.س","SAR",G60),المدخلات!$A$4:$B$9,2,FALSE())*IF(H60="نعم",المدخلات!$B$11,1)</f>
        <v>90</v>
      </c>
      <c r="J60" s="4" t="n">
        <f aca="false">E60*I60</f>
        <v>2430</v>
      </c>
      <c r="K60" s="2" t="s">
        <v>30</v>
      </c>
      <c r="L60" s="2" t="s">
        <v>27</v>
      </c>
      <c r="M60" s="19" t="s">
        <v>150</v>
      </c>
      <c r="N60" s="2"/>
    </row>
    <row r="61" customFormat="false" ht="15" hidden="false" customHeight="false" outlineLevel="0" collapsed="false">
      <c r="A61" s="2" t="s">
        <v>53</v>
      </c>
      <c r="B61" s="2" t="n">
        <v>4</v>
      </c>
      <c r="C61" s="19" t="s">
        <v>211</v>
      </c>
      <c r="D61" s="2" t="s">
        <v>165</v>
      </c>
      <c r="E61" s="20" t="n">
        <v>8</v>
      </c>
      <c r="F61" s="9" t="n">
        <v>160</v>
      </c>
      <c r="G61" s="2" t="s">
        <v>130</v>
      </c>
      <c r="H61" s="2" t="s">
        <v>131</v>
      </c>
      <c r="I61" s="4" t="n">
        <f aca="false">F61*VLOOKUP(IF(G61="ر.س","SAR",G61),المدخلات!$A$4:$B$9,2,FALSE())*IF(H61="نعم",المدخلات!$B$11,1)</f>
        <v>160</v>
      </c>
      <c r="J61" s="4" t="n">
        <f aca="false">E61*I61</f>
        <v>1280</v>
      </c>
      <c r="K61" s="2" t="s">
        <v>30</v>
      </c>
      <c r="L61" s="2" t="s">
        <v>27</v>
      </c>
      <c r="M61" s="19" t="s">
        <v>150</v>
      </c>
      <c r="N61" s="2"/>
    </row>
    <row r="62" customFormat="false" ht="15" hidden="false" customHeight="false" outlineLevel="0" collapsed="false">
      <c r="A62" s="2" t="s">
        <v>53</v>
      </c>
      <c r="B62" s="2" t="n">
        <v>5</v>
      </c>
      <c r="C62" s="19" t="s">
        <v>212</v>
      </c>
      <c r="D62" s="2" t="s">
        <v>144</v>
      </c>
      <c r="E62" s="20" t="n">
        <v>1</v>
      </c>
      <c r="F62" s="9" t="n">
        <v>1800</v>
      </c>
      <c r="G62" s="2" t="s">
        <v>130</v>
      </c>
      <c r="H62" s="2" t="s">
        <v>131</v>
      </c>
      <c r="I62" s="4" t="n">
        <f aca="false">F62*VLOOKUP(IF(G62="ر.س","SAR",G62),المدخلات!$A$4:$B$9,2,FALSE())*IF(H62="نعم",المدخلات!$B$11,1)</f>
        <v>1800</v>
      </c>
      <c r="J62" s="4" t="n">
        <f aca="false">E62*I62</f>
        <v>1800</v>
      </c>
      <c r="K62" s="2" t="s">
        <v>30</v>
      </c>
      <c r="L62" s="2" t="s">
        <v>27</v>
      </c>
      <c r="M62" s="19" t="s">
        <v>150</v>
      </c>
      <c r="N62" s="2"/>
    </row>
    <row r="63" customFormat="false" ht="15" hidden="false" customHeight="false" outlineLevel="0" collapsed="false">
      <c r="A63" s="2" t="s">
        <v>53</v>
      </c>
      <c r="B63" s="2" t="n">
        <v>6</v>
      </c>
      <c r="C63" s="19" t="s">
        <v>213</v>
      </c>
      <c r="D63" s="2" t="s">
        <v>140</v>
      </c>
      <c r="E63" s="20" t="n">
        <v>1</v>
      </c>
      <c r="F63" s="9" t="n">
        <v>6500</v>
      </c>
      <c r="G63" s="2" t="s">
        <v>130</v>
      </c>
      <c r="H63" s="2" t="s">
        <v>131</v>
      </c>
      <c r="I63" s="4" t="n">
        <f aca="false">F63*VLOOKUP(IF(G63="ر.س","SAR",G63),المدخلات!$A$4:$B$9,2,FALSE())*IF(H63="نعم",المدخلات!$B$11,1)</f>
        <v>6500</v>
      </c>
      <c r="J63" s="4" t="n">
        <f aca="false">E63*I63</f>
        <v>6500</v>
      </c>
      <c r="K63" s="2" t="s">
        <v>30</v>
      </c>
      <c r="L63" s="2" t="s">
        <v>27</v>
      </c>
      <c r="M63" s="19" t="s">
        <v>150</v>
      </c>
      <c r="N63" s="2"/>
    </row>
    <row r="64" customFormat="false" ht="15" hidden="false" customHeight="false" outlineLevel="0" collapsed="false">
      <c r="A64" s="2" t="s">
        <v>53</v>
      </c>
      <c r="B64" s="2" t="n">
        <v>7</v>
      </c>
      <c r="C64" s="19" t="s">
        <v>214</v>
      </c>
      <c r="D64" s="2" t="s">
        <v>140</v>
      </c>
      <c r="E64" s="20" t="n">
        <v>8</v>
      </c>
      <c r="F64" s="9" t="n">
        <v>450</v>
      </c>
      <c r="G64" s="2" t="s">
        <v>130</v>
      </c>
      <c r="H64" s="2" t="s">
        <v>131</v>
      </c>
      <c r="I64" s="4" t="n">
        <f aca="false">F64*VLOOKUP(IF(G64="ر.س","SAR",G64),المدخلات!$A$4:$B$9,2,FALSE())*IF(H64="نعم",المدخلات!$B$11,1)</f>
        <v>450</v>
      </c>
      <c r="J64" s="4" t="n">
        <f aca="false">E64*I64</f>
        <v>3600</v>
      </c>
      <c r="K64" s="2" t="s">
        <v>30</v>
      </c>
      <c r="L64" s="2" t="s">
        <v>27</v>
      </c>
      <c r="M64" s="19" t="s">
        <v>150</v>
      </c>
      <c r="N64" s="2"/>
    </row>
    <row r="65" customFormat="false" ht="15" hidden="false" customHeight="false" outlineLevel="0" collapsed="false">
      <c r="A65" s="2" t="s">
        <v>53</v>
      </c>
      <c r="B65" s="2" t="n">
        <v>8</v>
      </c>
      <c r="C65" s="19" t="s">
        <v>215</v>
      </c>
      <c r="D65" s="2" t="s">
        <v>140</v>
      </c>
      <c r="E65" s="20" t="n">
        <v>2</v>
      </c>
      <c r="F65" s="9" t="n">
        <v>1100</v>
      </c>
      <c r="G65" s="2" t="s">
        <v>130</v>
      </c>
      <c r="H65" s="2" t="s">
        <v>131</v>
      </c>
      <c r="I65" s="4" t="n">
        <f aca="false">F65*VLOOKUP(IF(G65="ر.س","SAR",G65),المدخلات!$A$4:$B$9,2,FALSE())*IF(H65="نعم",المدخلات!$B$11,1)</f>
        <v>1100</v>
      </c>
      <c r="J65" s="4" t="n">
        <f aca="false">E65*I65</f>
        <v>2200</v>
      </c>
      <c r="K65" s="2" t="s">
        <v>30</v>
      </c>
      <c r="L65" s="2" t="s">
        <v>27</v>
      </c>
      <c r="M65" s="19" t="s">
        <v>150</v>
      </c>
      <c r="N65" s="2"/>
    </row>
    <row r="66" customFormat="false" ht="15" hidden="false" customHeight="false" outlineLevel="0" collapsed="false">
      <c r="A66" s="2" t="s">
        <v>53</v>
      </c>
      <c r="B66" s="2" t="n">
        <v>9</v>
      </c>
      <c r="C66" s="19" t="s">
        <v>216</v>
      </c>
      <c r="D66" s="2" t="s">
        <v>140</v>
      </c>
      <c r="E66" s="20" t="n">
        <v>1</v>
      </c>
      <c r="F66" s="9" t="n">
        <v>400</v>
      </c>
      <c r="G66" s="2" t="s">
        <v>130</v>
      </c>
      <c r="H66" s="2" t="s">
        <v>131</v>
      </c>
      <c r="I66" s="4" t="n">
        <f aca="false">F66*VLOOKUP(IF(G66="ر.س","SAR",G66),المدخلات!$A$4:$B$9,2,FALSE())*IF(H66="نعم",المدخلات!$B$11,1)</f>
        <v>400</v>
      </c>
      <c r="J66" s="4" t="n">
        <f aca="false">E66*I66</f>
        <v>400</v>
      </c>
      <c r="K66" s="2" t="s">
        <v>30</v>
      </c>
      <c r="L66" s="2" t="s">
        <v>27</v>
      </c>
      <c r="M66" s="19" t="s">
        <v>150</v>
      </c>
      <c r="N66" s="2"/>
    </row>
    <row r="67" customFormat="false" ht="15" hidden="false" customHeight="false" outlineLevel="0" collapsed="false">
      <c r="A67" s="2" t="s">
        <v>53</v>
      </c>
      <c r="B67" s="2" t="n">
        <v>10</v>
      </c>
      <c r="C67" s="19" t="s">
        <v>217</v>
      </c>
      <c r="D67" s="2" t="s">
        <v>144</v>
      </c>
      <c r="E67" s="20" t="n">
        <v>1</v>
      </c>
      <c r="F67" s="9" t="n">
        <v>5200</v>
      </c>
      <c r="G67" s="2" t="s">
        <v>130</v>
      </c>
      <c r="H67" s="2" t="s">
        <v>131</v>
      </c>
      <c r="I67" s="4" t="n">
        <f aca="false">F67*VLOOKUP(IF(G67="ر.س","SAR",G67),المدخلات!$A$4:$B$9,2,FALSE())*IF(H67="نعم",المدخلات!$B$11,1)</f>
        <v>5200</v>
      </c>
      <c r="J67" s="4" t="n">
        <f aca="false">E67*I67</f>
        <v>5200</v>
      </c>
      <c r="K67" s="2" t="s">
        <v>30</v>
      </c>
      <c r="L67" s="2" t="s">
        <v>27</v>
      </c>
      <c r="M67" s="19" t="s">
        <v>150</v>
      </c>
      <c r="N67" s="2"/>
    </row>
    <row r="68" customFormat="false" ht="15" hidden="false" customHeight="false" outlineLevel="0" collapsed="false">
      <c r="A68" s="2" t="s">
        <v>53</v>
      </c>
      <c r="B68" s="2" t="n">
        <v>11</v>
      </c>
      <c r="C68" s="19" t="s">
        <v>218</v>
      </c>
      <c r="D68" s="2" t="s">
        <v>144</v>
      </c>
      <c r="E68" s="20" t="n">
        <v>1</v>
      </c>
      <c r="F68" s="9" t="n">
        <v>3600</v>
      </c>
      <c r="G68" s="2" t="s">
        <v>130</v>
      </c>
      <c r="H68" s="2" t="s">
        <v>131</v>
      </c>
      <c r="I68" s="4" t="n">
        <f aca="false">F68*VLOOKUP(IF(G68="ر.س","SAR",G68),المدخلات!$A$4:$B$9,2,FALSE())*IF(H68="نعم",المدخلات!$B$11,1)</f>
        <v>3600</v>
      </c>
      <c r="J68" s="4" t="n">
        <f aca="false">E68*I68</f>
        <v>3600</v>
      </c>
      <c r="K68" s="2" t="s">
        <v>30</v>
      </c>
      <c r="L68" s="2" t="s">
        <v>27</v>
      </c>
      <c r="M68" s="19" t="s">
        <v>150</v>
      </c>
      <c r="N68" s="2"/>
    </row>
    <row r="69" customFormat="false" ht="15" hidden="false" customHeight="false" outlineLevel="0" collapsed="false">
      <c r="A69" s="2" t="s">
        <v>53</v>
      </c>
      <c r="B69" s="2" t="n">
        <v>12</v>
      </c>
      <c r="C69" s="19" t="s">
        <v>219</v>
      </c>
      <c r="D69" s="2" t="s">
        <v>144</v>
      </c>
      <c r="E69" s="20" t="n">
        <v>1</v>
      </c>
      <c r="F69" s="9" t="n">
        <v>2300</v>
      </c>
      <c r="G69" s="2" t="s">
        <v>130</v>
      </c>
      <c r="H69" s="2" t="s">
        <v>131</v>
      </c>
      <c r="I69" s="4" t="n">
        <f aca="false">F69*VLOOKUP(IF(G69="ر.س","SAR",G69),المدخلات!$A$4:$B$9,2,FALSE())*IF(H69="نعم",المدخلات!$B$11,1)</f>
        <v>2300</v>
      </c>
      <c r="J69" s="4" t="n">
        <f aca="false">E69*I69</f>
        <v>2300</v>
      </c>
      <c r="K69" s="2" t="s">
        <v>30</v>
      </c>
      <c r="L69" s="2" t="s">
        <v>27</v>
      </c>
      <c r="M69" s="19" t="s">
        <v>150</v>
      </c>
      <c r="N69" s="2"/>
    </row>
    <row r="70" customFormat="false" ht="15" hidden="false" customHeight="false" outlineLevel="0" collapsed="false">
      <c r="A70" s="2" t="s">
        <v>53</v>
      </c>
      <c r="B70" s="2" t="n">
        <v>13</v>
      </c>
      <c r="C70" s="19" t="s">
        <v>220</v>
      </c>
      <c r="D70" s="2" t="s">
        <v>135</v>
      </c>
      <c r="E70" s="20" t="n">
        <v>24</v>
      </c>
      <c r="F70" s="21" t="n">
        <f aca="false">المدخلات!$B$13</f>
        <v>380</v>
      </c>
      <c r="G70" s="2" t="s">
        <v>130</v>
      </c>
      <c r="H70" s="2" t="s">
        <v>131</v>
      </c>
      <c r="I70" s="4" t="n">
        <f aca="false">F70*VLOOKUP(IF(G70="ر.س","SAR",G70),المدخلات!$A$4:$B$9,2,FALSE())*IF(H70="نعم",المدخلات!$B$11,1)</f>
        <v>380</v>
      </c>
      <c r="J70" s="4" t="n">
        <f aca="false">E70*I70</f>
        <v>9120</v>
      </c>
      <c r="K70" s="2" t="s">
        <v>31</v>
      </c>
      <c r="L70" s="2" t="s">
        <v>27</v>
      </c>
      <c r="M70" s="19" t="s">
        <v>182</v>
      </c>
      <c r="N70" s="2" t="s">
        <v>137</v>
      </c>
    </row>
    <row r="71" customFormat="false" ht="15" hidden="false" customHeight="false" outlineLevel="0" collapsed="false">
      <c r="A71" s="22"/>
      <c r="B71" s="22"/>
      <c r="C71" s="23" t="s">
        <v>221</v>
      </c>
      <c r="D71" s="22"/>
      <c r="E71" s="22"/>
      <c r="F71" s="22"/>
      <c r="G71" s="22"/>
      <c r="H71" s="22"/>
      <c r="I71" s="22"/>
      <c r="J71" s="24" t="n">
        <f aca="false">SUMIF($A$4:$A$70,"05",$J$4:$J$70)</f>
        <v>52030</v>
      </c>
      <c r="K71" s="22"/>
      <c r="L71" s="22"/>
      <c r="M71" s="22"/>
      <c r="N71" s="2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17"/>
      <c r="B73" s="17"/>
      <c r="C73" s="18" t="s">
        <v>222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customFormat="false" ht="26.85" hidden="false" customHeight="false" outlineLevel="0" collapsed="false">
      <c r="A74" s="2" t="s">
        <v>55</v>
      </c>
      <c r="B74" s="2" t="n">
        <v>1</v>
      </c>
      <c r="C74" s="19" t="s">
        <v>223</v>
      </c>
      <c r="D74" s="2" t="s">
        <v>140</v>
      </c>
      <c r="E74" s="20" t="n">
        <v>4</v>
      </c>
      <c r="F74" s="9" t="n">
        <v>1900</v>
      </c>
      <c r="G74" s="2" t="s">
        <v>89</v>
      </c>
      <c r="H74" s="2" t="s">
        <v>141</v>
      </c>
      <c r="I74" s="4" t="n">
        <f aca="false">F74*VLOOKUP(IF(G74="ر.س","SAR",G74),المدخلات!$A$4:$B$9,2,FALSE())*IF(H74="نعم",المدخلات!$B$11,1)</f>
        <v>8193.75</v>
      </c>
      <c r="J74" s="4" t="n">
        <f aca="false">E74*I74</f>
        <v>32775</v>
      </c>
      <c r="K74" s="2" t="s">
        <v>30</v>
      </c>
      <c r="L74" s="2" t="s">
        <v>26</v>
      </c>
      <c r="M74" s="19" t="s">
        <v>224</v>
      </c>
      <c r="N74" s="2" t="s">
        <v>225</v>
      </c>
    </row>
    <row r="75" customFormat="false" ht="15" hidden="false" customHeight="false" outlineLevel="0" collapsed="false">
      <c r="A75" s="2" t="s">
        <v>55</v>
      </c>
      <c r="B75" s="2" t="n">
        <v>2</v>
      </c>
      <c r="C75" s="19" t="s">
        <v>226</v>
      </c>
      <c r="D75" s="2" t="s">
        <v>140</v>
      </c>
      <c r="E75" s="20" t="n">
        <v>4</v>
      </c>
      <c r="F75" s="9" t="n">
        <v>250</v>
      </c>
      <c r="G75" s="2" t="s">
        <v>89</v>
      </c>
      <c r="H75" s="2" t="s">
        <v>141</v>
      </c>
      <c r="I75" s="4" t="n">
        <f aca="false">F75*VLOOKUP(IF(G75="ر.س","SAR",G75),المدخلات!$A$4:$B$9,2,FALSE())*IF(H75="نعم",المدخلات!$B$11,1)</f>
        <v>1078.125</v>
      </c>
      <c r="J75" s="4" t="n">
        <f aca="false">E75*I75</f>
        <v>4312.5</v>
      </c>
      <c r="K75" s="2" t="s">
        <v>30</v>
      </c>
      <c r="L75" s="2" t="s">
        <v>27</v>
      </c>
      <c r="M75" s="19" t="s">
        <v>150</v>
      </c>
      <c r="N75" s="2"/>
    </row>
    <row r="76" customFormat="false" ht="26.85" hidden="false" customHeight="false" outlineLevel="0" collapsed="false">
      <c r="A76" s="2" t="s">
        <v>55</v>
      </c>
      <c r="B76" s="2" t="n">
        <v>3</v>
      </c>
      <c r="C76" s="19" t="s">
        <v>227</v>
      </c>
      <c r="D76" s="2" t="s">
        <v>140</v>
      </c>
      <c r="E76" s="20" t="n">
        <v>2</v>
      </c>
      <c r="F76" s="9" t="n">
        <v>1435</v>
      </c>
      <c r="G76" s="2" t="s">
        <v>130</v>
      </c>
      <c r="H76" s="2" t="s">
        <v>131</v>
      </c>
      <c r="I76" s="4" t="n">
        <f aca="false">F76*VLOOKUP(IF(G76="ر.س","SAR",G76),المدخلات!$A$4:$B$9,2,FALSE())*IF(H76="نعم",المدخلات!$B$11,1)</f>
        <v>1435</v>
      </c>
      <c r="J76" s="4" t="n">
        <f aca="false">E76*I76</f>
        <v>2870</v>
      </c>
      <c r="K76" s="2" t="s">
        <v>30</v>
      </c>
      <c r="L76" s="2" t="s">
        <v>26</v>
      </c>
      <c r="M76" s="19" t="s">
        <v>228</v>
      </c>
      <c r="N76" s="2" t="s">
        <v>229</v>
      </c>
    </row>
    <row r="77" customFormat="false" ht="15" hidden="false" customHeight="false" outlineLevel="0" collapsed="false">
      <c r="A77" s="2" t="s">
        <v>55</v>
      </c>
      <c r="B77" s="2" t="n">
        <v>4</v>
      </c>
      <c r="C77" s="19" t="s">
        <v>230</v>
      </c>
      <c r="D77" s="2" t="s">
        <v>140</v>
      </c>
      <c r="E77" s="20" t="n">
        <v>2</v>
      </c>
      <c r="F77" s="9" t="n">
        <v>450</v>
      </c>
      <c r="G77" s="2" t="s">
        <v>130</v>
      </c>
      <c r="H77" s="2" t="s">
        <v>131</v>
      </c>
      <c r="I77" s="4" t="n">
        <f aca="false">F77*VLOOKUP(IF(G77="ر.س","SAR",G77),المدخلات!$A$4:$B$9,2,FALSE())*IF(H77="نعم",المدخلات!$B$11,1)</f>
        <v>450</v>
      </c>
      <c r="J77" s="4" t="n">
        <f aca="false">E77*I77</f>
        <v>900</v>
      </c>
      <c r="K77" s="2" t="s">
        <v>32</v>
      </c>
      <c r="L77" s="2" t="s">
        <v>27</v>
      </c>
      <c r="M77" s="19" t="s">
        <v>150</v>
      </c>
      <c r="N77" s="2"/>
    </row>
    <row r="78" customFormat="false" ht="15" hidden="false" customHeight="false" outlineLevel="0" collapsed="false">
      <c r="A78" s="2" t="s">
        <v>55</v>
      </c>
      <c r="B78" s="2" t="n">
        <v>5</v>
      </c>
      <c r="C78" s="19" t="s">
        <v>231</v>
      </c>
      <c r="D78" s="2" t="s">
        <v>140</v>
      </c>
      <c r="E78" s="20" t="n">
        <v>1</v>
      </c>
      <c r="F78" s="9" t="n">
        <v>1400</v>
      </c>
      <c r="G78" s="2" t="s">
        <v>89</v>
      </c>
      <c r="H78" s="2" t="s">
        <v>141</v>
      </c>
      <c r="I78" s="4" t="n">
        <f aca="false">F78*VLOOKUP(IF(G78="ر.س","SAR",G78),المدخلات!$A$4:$B$9,2,FALSE())*IF(H78="نعم",المدخلات!$B$11,1)</f>
        <v>6037.5</v>
      </c>
      <c r="J78" s="4" t="n">
        <f aca="false">E78*I78</f>
        <v>6037.5</v>
      </c>
      <c r="K78" s="2" t="s">
        <v>30</v>
      </c>
      <c r="L78" s="2" t="s">
        <v>27</v>
      </c>
      <c r="M78" s="19" t="s">
        <v>232</v>
      </c>
      <c r="N78" s="2" t="s">
        <v>233</v>
      </c>
    </row>
    <row r="79" customFormat="false" ht="15" hidden="false" customHeight="false" outlineLevel="0" collapsed="false">
      <c r="A79" s="2" t="s">
        <v>55</v>
      </c>
      <c r="B79" s="2" t="n">
        <v>6</v>
      </c>
      <c r="C79" s="19" t="s">
        <v>234</v>
      </c>
      <c r="D79" s="2" t="s">
        <v>140</v>
      </c>
      <c r="E79" s="20" t="n">
        <v>2</v>
      </c>
      <c r="F79" s="9" t="n">
        <v>2200</v>
      </c>
      <c r="G79" s="2" t="s">
        <v>130</v>
      </c>
      <c r="H79" s="2" t="s">
        <v>131</v>
      </c>
      <c r="I79" s="4" t="n">
        <f aca="false">F79*VLOOKUP(IF(G79="ر.س","SAR",G79),المدخلات!$A$4:$B$9,2,FALSE())*IF(H79="نعم",المدخلات!$B$11,1)</f>
        <v>2200</v>
      </c>
      <c r="J79" s="4" t="n">
        <f aca="false">E79*I79</f>
        <v>4400</v>
      </c>
      <c r="K79" s="2" t="s">
        <v>30</v>
      </c>
      <c r="L79" s="2" t="s">
        <v>27</v>
      </c>
      <c r="M79" s="19" t="s">
        <v>150</v>
      </c>
      <c r="N79" s="2"/>
    </row>
    <row r="80" customFormat="false" ht="15" hidden="false" customHeight="false" outlineLevel="0" collapsed="false">
      <c r="A80" s="2" t="s">
        <v>55</v>
      </c>
      <c r="B80" s="2" t="n">
        <v>7</v>
      </c>
      <c r="C80" s="19" t="s">
        <v>235</v>
      </c>
      <c r="D80" s="2" t="s">
        <v>144</v>
      </c>
      <c r="E80" s="20" t="n">
        <v>1</v>
      </c>
      <c r="F80" s="9" t="n">
        <v>1600</v>
      </c>
      <c r="G80" s="2" t="s">
        <v>130</v>
      </c>
      <c r="H80" s="2" t="s">
        <v>131</v>
      </c>
      <c r="I80" s="4" t="n">
        <f aca="false">F80*VLOOKUP(IF(G80="ر.س","SAR",G80),المدخلات!$A$4:$B$9,2,FALSE())*IF(H80="نعم",المدخلات!$B$11,1)</f>
        <v>1600</v>
      </c>
      <c r="J80" s="4" t="n">
        <f aca="false">E80*I80</f>
        <v>1600</v>
      </c>
      <c r="K80" s="2" t="s">
        <v>30</v>
      </c>
      <c r="L80" s="2" t="s">
        <v>27</v>
      </c>
      <c r="M80" s="19" t="s">
        <v>150</v>
      </c>
      <c r="N80" s="2"/>
    </row>
    <row r="81" customFormat="false" ht="15" hidden="false" customHeight="false" outlineLevel="0" collapsed="false">
      <c r="A81" s="2" t="s">
        <v>55</v>
      </c>
      <c r="B81" s="2" t="n">
        <v>8</v>
      </c>
      <c r="C81" s="19" t="s">
        <v>236</v>
      </c>
      <c r="D81" s="2" t="s">
        <v>144</v>
      </c>
      <c r="E81" s="20" t="n">
        <v>1</v>
      </c>
      <c r="F81" s="9" t="n">
        <v>900</v>
      </c>
      <c r="G81" s="2" t="s">
        <v>130</v>
      </c>
      <c r="H81" s="2" t="s">
        <v>131</v>
      </c>
      <c r="I81" s="4" t="n">
        <f aca="false">F81*VLOOKUP(IF(G81="ر.س","SAR",G81),المدخلات!$A$4:$B$9,2,FALSE())*IF(H81="نعم",المدخلات!$B$11,1)</f>
        <v>900</v>
      </c>
      <c r="J81" s="4" t="n">
        <f aca="false">E81*I81</f>
        <v>900</v>
      </c>
      <c r="K81" s="2" t="s">
        <v>30</v>
      </c>
      <c r="L81" s="2" t="s">
        <v>27</v>
      </c>
      <c r="M81" s="19" t="s">
        <v>150</v>
      </c>
      <c r="N81" s="2"/>
    </row>
    <row r="82" customFormat="false" ht="15" hidden="false" customHeight="false" outlineLevel="0" collapsed="false">
      <c r="A82" s="2" t="s">
        <v>55</v>
      </c>
      <c r="B82" s="2" t="n">
        <v>9</v>
      </c>
      <c r="C82" s="19" t="s">
        <v>237</v>
      </c>
      <c r="D82" s="2" t="s">
        <v>159</v>
      </c>
      <c r="E82" s="20" t="n">
        <v>1</v>
      </c>
      <c r="F82" s="9" t="n">
        <v>3000</v>
      </c>
      <c r="G82" s="2" t="s">
        <v>130</v>
      </c>
      <c r="H82" s="2" t="s">
        <v>131</v>
      </c>
      <c r="I82" s="4" t="n">
        <f aca="false">F82*VLOOKUP(IF(G82="ر.س","SAR",G82),المدخلات!$A$4:$B$9,2,FALSE())*IF(H82="نعم",المدخلات!$B$11,1)</f>
        <v>3000</v>
      </c>
      <c r="J82" s="4" t="n">
        <f aca="false">E82*I82</f>
        <v>3000</v>
      </c>
      <c r="K82" s="2" t="s">
        <v>30</v>
      </c>
      <c r="L82" s="2" t="s">
        <v>27</v>
      </c>
      <c r="M82" s="19" t="s">
        <v>150</v>
      </c>
      <c r="N82" s="2"/>
    </row>
    <row r="83" customFormat="false" ht="15" hidden="false" customHeight="false" outlineLevel="0" collapsed="false">
      <c r="A83" s="2" t="s">
        <v>55</v>
      </c>
      <c r="B83" s="2" t="n">
        <v>10</v>
      </c>
      <c r="C83" s="19" t="s">
        <v>238</v>
      </c>
      <c r="D83" s="2" t="s">
        <v>135</v>
      </c>
      <c r="E83" s="20" t="n">
        <v>12</v>
      </c>
      <c r="F83" s="21" t="n">
        <f aca="false">المدخلات!$B$13</f>
        <v>380</v>
      </c>
      <c r="G83" s="2" t="s">
        <v>130</v>
      </c>
      <c r="H83" s="2" t="s">
        <v>131</v>
      </c>
      <c r="I83" s="4" t="n">
        <f aca="false">F83*VLOOKUP(IF(G83="ر.س","SAR",G83),المدخلات!$A$4:$B$9,2,FALSE())*IF(H83="نعم",المدخلات!$B$11,1)</f>
        <v>380</v>
      </c>
      <c r="J83" s="4" t="n">
        <f aca="false">E83*I83</f>
        <v>4560</v>
      </c>
      <c r="K83" s="2" t="s">
        <v>31</v>
      </c>
      <c r="L83" s="2" t="s">
        <v>27</v>
      </c>
      <c r="M83" s="19" t="s">
        <v>182</v>
      </c>
      <c r="N83" s="2" t="s">
        <v>137</v>
      </c>
    </row>
    <row r="84" customFormat="false" ht="15" hidden="false" customHeight="false" outlineLevel="0" collapsed="false">
      <c r="A84" s="22"/>
      <c r="B84" s="22"/>
      <c r="C84" s="23" t="s">
        <v>239</v>
      </c>
      <c r="D84" s="22"/>
      <c r="E84" s="22"/>
      <c r="F84" s="22"/>
      <c r="G84" s="22"/>
      <c r="H84" s="22"/>
      <c r="I84" s="22"/>
      <c r="J84" s="24" t="n">
        <f aca="false">SUMIF($A$4:$A$83,"06",$J$4:$J$83)</f>
        <v>61355</v>
      </c>
      <c r="K84" s="22"/>
      <c r="L84" s="22"/>
      <c r="M84" s="22"/>
      <c r="N84" s="2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17"/>
      <c r="B86" s="17"/>
      <c r="C86" s="18" t="s">
        <v>240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customFormat="false" ht="15" hidden="false" customHeight="false" outlineLevel="0" collapsed="false">
      <c r="A87" s="2" t="s">
        <v>57</v>
      </c>
      <c r="B87" s="2" t="n">
        <v>1</v>
      </c>
      <c r="C87" s="19" t="s">
        <v>241</v>
      </c>
      <c r="D87" s="2" t="s">
        <v>140</v>
      </c>
      <c r="E87" s="20" t="n">
        <v>1</v>
      </c>
      <c r="F87" s="9" t="n">
        <v>1800</v>
      </c>
      <c r="G87" s="2" t="s">
        <v>130</v>
      </c>
      <c r="H87" s="2" t="s">
        <v>131</v>
      </c>
      <c r="I87" s="4" t="n">
        <f aca="false">F87*VLOOKUP(IF(G87="ر.س","SAR",G87),المدخلات!$A$4:$B$9,2,FALSE())*IF(H87="نعم",المدخلات!$B$11,1)</f>
        <v>1800</v>
      </c>
      <c r="J87" s="4" t="n">
        <f aca="false">E87*I87</f>
        <v>1800</v>
      </c>
      <c r="K87" s="2" t="s">
        <v>30</v>
      </c>
      <c r="L87" s="2" t="s">
        <v>27</v>
      </c>
      <c r="M87" s="19" t="s">
        <v>242</v>
      </c>
      <c r="N87" s="2"/>
    </row>
    <row r="88" customFormat="false" ht="15" hidden="false" customHeight="false" outlineLevel="0" collapsed="false">
      <c r="A88" s="2" t="s">
        <v>57</v>
      </c>
      <c r="B88" s="2" t="n">
        <v>2</v>
      </c>
      <c r="C88" s="19" t="s">
        <v>243</v>
      </c>
      <c r="D88" s="2" t="s">
        <v>140</v>
      </c>
      <c r="E88" s="20" t="n">
        <v>1</v>
      </c>
      <c r="F88" s="9" t="n">
        <v>1300</v>
      </c>
      <c r="G88" s="2" t="s">
        <v>130</v>
      </c>
      <c r="H88" s="2" t="s">
        <v>131</v>
      </c>
      <c r="I88" s="4" t="n">
        <f aca="false">F88*VLOOKUP(IF(G88="ر.س","SAR",G88),المدخلات!$A$4:$B$9,2,FALSE())*IF(H88="نعم",المدخلات!$B$11,1)</f>
        <v>1300</v>
      </c>
      <c r="J88" s="4" t="n">
        <f aca="false">E88*I88</f>
        <v>1300</v>
      </c>
      <c r="K88" s="2" t="s">
        <v>30</v>
      </c>
      <c r="L88" s="2" t="s">
        <v>27</v>
      </c>
      <c r="M88" s="19" t="s">
        <v>150</v>
      </c>
      <c r="N88" s="2"/>
    </row>
    <row r="89" customFormat="false" ht="15" hidden="false" customHeight="false" outlineLevel="0" collapsed="false">
      <c r="A89" s="2" t="s">
        <v>57</v>
      </c>
      <c r="B89" s="2" t="n">
        <v>3</v>
      </c>
      <c r="C89" s="19" t="s">
        <v>244</v>
      </c>
      <c r="D89" s="2" t="s">
        <v>140</v>
      </c>
      <c r="E89" s="20" t="n">
        <v>1</v>
      </c>
      <c r="F89" s="9" t="n">
        <v>900</v>
      </c>
      <c r="G89" s="2" t="s">
        <v>130</v>
      </c>
      <c r="H89" s="2" t="s">
        <v>131</v>
      </c>
      <c r="I89" s="4" t="n">
        <f aca="false">F89*VLOOKUP(IF(G89="ر.س","SAR",G89),المدخلات!$A$4:$B$9,2,FALSE())*IF(H89="نعم",المدخلات!$B$11,1)</f>
        <v>900</v>
      </c>
      <c r="J89" s="4" t="n">
        <f aca="false">E89*I89</f>
        <v>900</v>
      </c>
      <c r="K89" s="2" t="s">
        <v>30</v>
      </c>
      <c r="L89" s="2" t="s">
        <v>27</v>
      </c>
      <c r="M89" s="19" t="s">
        <v>150</v>
      </c>
      <c r="N89" s="2"/>
    </row>
    <row r="90" customFormat="false" ht="15" hidden="false" customHeight="false" outlineLevel="0" collapsed="false">
      <c r="A90" s="2" t="s">
        <v>57</v>
      </c>
      <c r="B90" s="2" t="n">
        <v>4</v>
      </c>
      <c r="C90" s="19" t="s">
        <v>245</v>
      </c>
      <c r="D90" s="2" t="s">
        <v>140</v>
      </c>
      <c r="E90" s="20" t="n">
        <v>1</v>
      </c>
      <c r="F90" s="9" t="n">
        <v>847.99</v>
      </c>
      <c r="G90" s="2" t="s">
        <v>89</v>
      </c>
      <c r="H90" s="2" t="s">
        <v>141</v>
      </c>
      <c r="I90" s="4" t="n">
        <f aca="false">F90*VLOOKUP(IF(G90="ر.س","SAR",G90),المدخلات!$A$4:$B$9,2,FALSE())*IF(H90="نعم",المدخلات!$B$11,1)</f>
        <v>3656.956875</v>
      </c>
      <c r="J90" s="4" t="n">
        <f aca="false">E90*I90</f>
        <v>3656.956875</v>
      </c>
      <c r="K90" s="2" t="s">
        <v>30</v>
      </c>
      <c r="L90" s="2" t="s">
        <v>25</v>
      </c>
      <c r="M90" s="19" t="s">
        <v>246</v>
      </c>
      <c r="N90" s="2" t="s">
        <v>247</v>
      </c>
    </row>
    <row r="91" customFormat="false" ht="15" hidden="false" customHeight="false" outlineLevel="0" collapsed="false">
      <c r="A91" s="2" t="s">
        <v>57</v>
      </c>
      <c r="B91" s="2" t="n">
        <v>5</v>
      </c>
      <c r="C91" s="19" t="s">
        <v>248</v>
      </c>
      <c r="D91" s="2" t="s">
        <v>140</v>
      </c>
      <c r="E91" s="20" t="n">
        <v>1</v>
      </c>
      <c r="F91" s="9" t="n">
        <v>1047.99</v>
      </c>
      <c r="G91" s="2" t="s">
        <v>89</v>
      </c>
      <c r="H91" s="2" t="s">
        <v>141</v>
      </c>
      <c r="I91" s="4" t="n">
        <f aca="false">F91*VLOOKUP(IF(G91="ر.س","SAR",G91),المدخلات!$A$4:$B$9,2,FALSE())*IF(H91="نعم",المدخلات!$B$11,1)</f>
        <v>4519.456875</v>
      </c>
      <c r="J91" s="4" t="n">
        <f aca="false">E91*I91</f>
        <v>4519.456875</v>
      </c>
      <c r="K91" s="2" t="s">
        <v>30</v>
      </c>
      <c r="L91" s="2" t="s">
        <v>25</v>
      </c>
      <c r="M91" s="19" t="s">
        <v>246</v>
      </c>
      <c r="N91" s="2" t="s">
        <v>249</v>
      </c>
    </row>
    <row r="92" customFormat="false" ht="15" hidden="false" customHeight="false" outlineLevel="0" collapsed="false">
      <c r="A92" s="2" t="s">
        <v>57</v>
      </c>
      <c r="B92" s="2" t="n">
        <v>6</v>
      </c>
      <c r="C92" s="19" t="s">
        <v>250</v>
      </c>
      <c r="D92" s="2" t="s">
        <v>144</v>
      </c>
      <c r="E92" s="20" t="n">
        <v>1</v>
      </c>
      <c r="F92" s="9" t="n">
        <v>700</v>
      </c>
      <c r="G92" s="2" t="s">
        <v>89</v>
      </c>
      <c r="H92" s="2" t="s">
        <v>141</v>
      </c>
      <c r="I92" s="4" t="n">
        <f aca="false">F92*VLOOKUP(IF(G92="ر.س","SAR",G92),المدخلات!$A$4:$B$9,2,FALSE())*IF(H92="نعم",المدخلات!$B$11,1)</f>
        <v>3018.75</v>
      </c>
      <c r="J92" s="4" t="n">
        <f aca="false">E92*I92</f>
        <v>3018.75</v>
      </c>
      <c r="K92" s="2" t="s">
        <v>30</v>
      </c>
      <c r="L92" s="2" t="s">
        <v>27</v>
      </c>
      <c r="M92" s="19" t="s">
        <v>251</v>
      </c>
      <c r="N92" s="2"/>
    </row>
    <row r="93" customFormat="false" ht="15" hidden="false" customHeight="false" outlineLevel="0" collapsed="false">
      <c r="A93" s="2" t="s">
        <v>57</v>
      </c>
      <c r="B93" s="2" t="n">
        <v>7</v>
      </c>
      <c r="C93" s="19" t="s">
        <v>252</v>
      </c>
      <c r="D93" s="2" t="s">
        <v>144</v>
      </c>
      <c r="E93" s="20" t="n">
        <v>1</v>
      </c>
      <c r="F93" s="9" t="n">
        <v>1500</v>
      </c>
      <c r="G93" s="2" t="s">
        <v>130</v>
      </c>
      <c r="H93" s="2" t="s">
        <v>131</v>
      </c>
      <c r="I93" s="4" t="n">
        <f aca="false">F93*VLOOKUP(IF(G93="ر.س","SAR",G93),المدخلات!$A$4:$B$9,2,FALSE())*IF(H93="نعم",المدخلات!$B$11,1)</f>
        <v>1500</v>
      </c>
      <c r="J93" s="4" t="n">
        <f aca="false">E93*I93</f>
        <v>1500</v>
      </c>
      <c r="K93" s="2" t="s">
        <v>30</v>
      </c>
      <c r="L93" s="2" t="s">
        <v>27</v>
      </c>
      <c r="M93" s="19" t="s">
        <v>150</v>
      </c>
      <c r="N93" s="2"/>
    </row>
    <row r="94" customFormat="false" ht="15" hidden="false" customHeight="false" outlineLevel="0" collapsed="false">
      <c r="A94" s="2" t="s">
        <v>57</v>
      </c>
      <c r="B94" s="2" t="n">
        <v>8</v>
      </c>
      <c r="C94" s="19" t="s">
        <v>253</v>
      </c>
      <c r="D94" s="2" t="s">
        <v>144</v>
      </c>
      <c r="E94" s="20" t="n">
        <v>1</v>
      </c>
      <c r="F94" s="9" t="n">
        <v>1350</v>
      </c>
      <c r="G94" s="2" t="s">
        <v>130</v>
      </c>
      <c r="H94" s="2" t="s">
        <v>131</v>
      </c>
      <c r="I94" s="4" t="n">
        <f aca="false">F94*VLOOKUP(IF(G94="ر.س","SAR",G94),المدخلات!$A$4:$B$9,2,FALSE())*IF(H94="نعم",المدخلات!$B$11,1)</f>
        <v>1350</v>
      </c>
      <c r="J94" s="4" t="n">
        <f aca="false">E94*I94</f>
        <v>1350</v>
      </c>
      <c r="K94" s="2" t="s">
        <v>30</v>
      </c>
      <c r="L94" s="2" t="s">
        <v>27</v>
      </c>
      <c r="M94" s="19" t="s">
        <v>150</v>
      </c>
      <c r="N94" s="2"/>
    </row>
    <row r="95" customFormat="false" ht="15" hidden="false" customHeight="false" outlineLevel="0" collapsed="false">
      <c r="A95" s="2" t="s">
        <v>57</v>
      </c>
      <c r="B95" s="2" t="n">
        <v>9</v>
      </c>
      <c r="C95" s="19" t="s">
        <v>254</v>
      </c>
      <c r="D95" s="2" t="s">
        <v>144</v>
      </c>
      <c r="E95" s="20" t="n">
        <v>1</v>
      </c>
      <c r="F95" s="9" t="n">
        <v>1100</v>
      </c>
      <c r="G95" s="2" t="s">
        <v>130</v>
      </c>
      <c r="H95" s="2" t="s">
        <v>131</v>
      </c>
      <c r="I95" s="4" t="n">
        <f aca="false">F95*VLOOKUP(IF(G95="ر.س","SAR",G95),المدخلات!$A$4:$B$9,2,FALSE())*IF(H95="نعم",المدخلات!$B$11,1)</f>
        <v>1100</v>
      </c>
      <c r="J95" s="4" t="n">
        <f aca="false">E95*I95</f>
        <v>1100</v>
      </c>
      <c r="K95" s="2" t="s">
        <v>30</v>
      </c>
      <c r="L95" s="2" t="s">
        <v>27</v>
      </c>
      <c r="M95" s="19" t="s">
        <v>150</v>
      </c>
      <c r="N95" s="2"/>
    </row>
    <row r="96" customFormat="false" ht="15" hidden="false" customHeight="false" outlineLevel="0" collapsed="false">
      <c r="A96" s="2" t="s">
        <v>57</v>
      </c>
      <c r="B96" s="2" t="n">
        <v>10</v>
      </c>
      <c r="C96" s="19" t="s">
        <v>255</v>
      </c>
      <c r="D96" s="2" t="s">
        <v>159</v>
      </c>
      <c r="E96" s="20" t="n">
        <v>1</v>
      </c>
      <c r="F96" s="9" t="n">
        <v>2200</v>
      </c>
      <c r="G96" s="2" t="s">
        <v>130</v>
      </c>
      <c r="H96" s="2" t="s">
        <v>131</v>
      </c>
      <c r="I96" s="4" t="n">
        <f aca="false">F96*VLOOKUP(IF(G96="ر.س","SAR",G96),المدخلات!$A$4:$B$9,2,FALSE())*IF(H96="نعم",المدخلات!$B$11,1)</f>
        <v>2200</v>
      </c>
      <c r="J96" s="4" t="n">
        <f aca="false">E96*I96</f>
        <v>2200</v>
      </c>
      <c r="K96" s="2" t="s">
        <v>30</v>
      </c>
      <c r="L96" s="2" t="s">
        <v>27</v>
      </c>
      <c r="M96" s="19" t="s">
        <v>150</v>
      </c>
      <c r="N96" s="2"/>
    </row>
    <row r="97" customFormat="false" ht="15" hidden="false" customHeight="false" outlineLevel="0" collapsed="false">
      <c r="A97" s="2" t="s">
        <v>57</v>
      </c>
      <c r="B97" s="2" t="n">
        <v>11</v>
      </c>
      <c r="C97" s="19" t="s">
        <v>256</v>
      </c>
      <c r="D97" s="2" t="s">
        <v>140</v>
      </c>
      <c r="E97" s="20" t="n">
        <v>4</v>
      </c>
      <c r="F97" s="9" t="n">
        <v>150</v>
      </c>
      <c r="G97" s="2" t="s">
        <v>130</v>
      </c>
      <c r="H97" s="2" t="s">
        <v>131</v>
      </c>
      <c r="I97" s="4" t="n">
        <f aca="false">F97*VLOOKUP(IF(G97="ر.س","SAR",G97),المدخلات!$A$4:$B$9,2,FALSE())*IF(H97="نعم",المدخلات!$B$11,1)</f>
        <v>150</v>
      </c>
      <c r="J97" s="4" t="n">
        <f aca="false">E97*I97</f>
        <v>600</v>
      </c>
      <c r="K97" s="2" t="s">
        <v>30</v>
      </c>
      <c r="L97" s="2" t="s">
        <v>27</v>
      </c>
      <c r="M97" s="19" t="s">
        <v>150</v>
      </c>
      <c r="N97" s="2"/>
    </row>
    <row r="98" customFormat="false" ht="15" hidden="false" customHeight="false" outlineLevel="0" collapsed="false">
      <c r="A98" s="2" t="s">
        <v>57</v>
      </c>
      <c r="B98" s="2" t="n">
        <v>12</v>
      </c>
      <c r="C98" s="19" t="s">
        <v>257</v>
      </c>
      <c r="D98" s="2" t="s">
        <v>144</v>
      </c>
      <c r="E98" s="20" t="n">
        <v>1</v>
      </c>
      <c r="F98" s="9" t="n">
        <v>1500</v>
      </c>
      <c r="G98" s="2" t="s">
        <v>130</v>
      </c>
      <c r="H98" s="2" t="s">
        <v>131</v>
      </c>
      <c r="I98" s="4" t="n">
        <f aca="false">F98*VLOOKUP(IF(G98="ر.س","SAR",G98),المدخلات!$A$4:$B$9,2,FALSE())*IF(H98="نعم",المدخلات!$B$11,1)</f>
        <v>1500</v>
      </c>
      <c r="J98" s="4" t="n">
        <f aca="false">E98*I98</f>
        <v>1500</v>
      </c>
      <c r="K98" s="2" t="s">
        <v>30</v>
      </c>
      <c r="L98" s="2" t="s">
        <v>27</v>
      </c>
      <c r="M98" s="19" t="s">
        <v>150</v>
      </c>
      <c r="N98" s="2"/>
    </row>
    <row r="99" customFormat="false" ht="15" hidden="false" customHeight="false" outlineLevel="0" collapsed="false">
      <c r="A99" s="2" t="s">
        <v>57</v>
      </c>
      <c r="B99" s="2" t="n">
        <v>13</v>
      </c>
      <c r="C99" s="19" t="s">
        <v>258</v>
      </c>
      <c r="D99" s="2" t="s">
        <v>144</v>
      </c>
      <c r="E99" s="20" t="n">
        <v>1</v>
      </c>
      <c r="F99" s="9" t="n">
        <v>1800</v>
      </c>
      <c r="G99" s="2" t="s">
        <v>130</v>
      </c>
      <c r="H99" s="2" t="s">
        <v>131</v>
      </c>
      <c r="I99" s="4" t="n">
        <f aca="false">F99*VLOOKUP(IF(G99="ر.س","SAR",G99),المدخلات!$A$4:$B$9,2,FALSE())*IF(H99="نعم",المدخلات!$B$11,1)</f>
        <v>1800</v>
      </c>
      <c r="J99" s="4" t="n">
        <f aca="false">E99*I99</f>
        <v>1800</v>
      </c>
      <c r="K99" s="2" t="s">
        <v>30</v>
      </c>
      <c r="L99" s="2" t="s">
        <v>27</v>
      </c>
      <c r="M99" s="19" t="s">
        <v>150</v>
      </c>
      <c r="N99" s="2"/>
    </row>
    <row r="100" customFormat="false" ht="15" hidden="false" customHeight="false" outlineLevel="0" collapsed="false">
      <c r="A100" s="2" t="s">
        <v>57</v>
      </c>
      <c r="B100" s="2" t="n">
        <v>14</v>
      </c>
      <c r="C100" s="19" t="s">
        <v>259</v>
      </c>
      <c r="D100" s="2" t="s">
        <v>135</v>
      </c>
      <c r="E100" s="20" t="n">
        <v>6</v>
      </c>
      <c r="F100" s="21" t="n">
        <f aca="false">المدخلات!$B$13</f>
        <v>380</v>
      </c>
      <c r="G100" s="2" t="s">
        <v>130</v>
      </c>
      <c r="H100" s="2" t="s">
        <v>131</v>
      </c>
      <c r="I100" s="4" t="n">
        <f aca="false">F100*VLOOKUP(IF(G100="ر.س","SAR",G100),المدخلات!$A$4:$B$9,2,FALSE())*IF(H100="نعم",المدخلات!$B$11,1)</f>
        <v>380</v>
      </c>
      <c r="J100" s="4" t="n">
        <f aca="false">E100*I100</f>
        <v>2280</v>
      </c>
      <c r="K100" s="2" t="s">
        <v>31</v>
      </c>
      <c r="L100" s="2" t="s">
        <v>27</v>
      </c>
      <c r="M100" s="19" t="s">
        <v>182</v>
      </c>
      <c r="N100" s="2" t="s">
        <v>137</v>
      </c>
    </row>
    <row r="101" customFormat="false" ht="15" hidden="false" customHeight="false" outlineLevel="0" collapsed="false">
      <c r="A101" s="2" t="s">
        <v>57</v>
      </c>
      <c r="B101" s="2" t="n">
        <v>15</v>
      </c>
      <c r="C101" s="19" t="s">
        <v>260</v>
      </c>
      <c r="D101" s="2" t="s">
        <v>135</v>
      </c>
      <c r="E101" s="20" t="n">
        <v>6</v>
      </c>
      <c r="F101" s="21" t="n">
        <f aca="false">المدخلات!$B$14</f>
        <v>250</v>
      </c>
      <c r="G101" s="2" t="s">
        <v>130</v>
      </c>
      <c r="H101" s="2" t="s">
        <v>131</v>
      </c>
      <c r="I101" s="4" t="n">
        <f aca="false">F101*VLOOKUP(IF(G101="ر.س","SAR",G101),المدخلات!$A$4:$B$9,2,FALSE())*IF(H101="نعم",المدخلات!$B$11,1)</f>
        <v>250</v>
      </c>
      <c r="J101" s="4" t="n">
        <f aca="false">E101*I101</f>
        <v>1500</v>
      </c>
      <c r="K101" s="2" t="s">
        <v>31</v>
      </c>
      <c r="L101" s="2" t="s">
        <v>27</v>
      </c>
      <c r="M101" s="19" t="s">
        <v>182</v>
      </c>
      <c r="N101" s="2" t="s">
        <v>137</v>
      </c>
    </row>
    <row r="102" customFormat="false" ht="15" hidden="false" customHeight="false" outlineLevel="0" collapsed="false">
      <c r="A102" s="22"/>
      <c r="B102" s="22"/>
      <c r="C102" s="23" t="s">
        <v>261</v>
      </c>
      <c r="D102" s="22"/>
      <c r="E102" s="22"/>
      <c r="F102" s="22"/>
      <c r="G102" s="22"/>
      <c r="H102" s="22"/>
      <c r="I102" s="22"/>
      <c r="J102" s="24" t="n">
        <f aca="false">SUMIF($A$4:$A$101,"07",$J$4:$J$101)</f>
        <v>29025.16375</v>
      </c>
      <c r="K102" s="22"/>
      <c r="L102" s="22"/>
      <c r="M102" s="22"/>
      <c r="N102" s="2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17"/>
      <c r="B104" s="17"/>
      <c r="C104" s="18" t="s">
        <v>262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customFormat="false" ht="26.85" hidden="false" customHeight="false" outlineLevel="0" collapsed="false">
      <c r="A105" s="2" t="s">
        <v>59</v>
      </c>
      <c r="B105" s="2" t="n">
        <v>1</v>
      </c>
      <c r="C105" s="19" t="s">
        <v>263</v>
      </c>
      <c r="D105" s="2" t="s">
        <v>144</v>
      </c>
      <c r="E105" s="20" t="n">
        <v>1</v>
      </c>
      <c r="F105" s="9" t="n">
        <v>6500</v>
      </c>
      <c r="G105" s="2" t="s">
        <v>130</v>
      </c>
      <c r="H105" s="2" t="s">
        <v>131</v>
      </c>
      <c r="I105" s="4" t="n">
        <f aca="false">F105*VLOOKUP(IF(G105="ر.س","SAR",G105),المدخلات!$A$4:$B$9,2,FALSE())*IF(H105="نعم",المدخلات!$B$11,1)</f>
        <v>6500</v>
      </c>
      <c r="J105" s="4" t="n">
        <f aca="false">E105*I105</f>
        <v>6500</v>
      </c>
      <c r="K105" s="2" t="s">
        <v>30</v>
      </c>
      <c r="L105" s="2" t="s">
        <v>27</v>
      </c>
      <c r="M105" s="19" t="s">
        <v>150</v>
      </c>
      <c r="N105" s="2"/>
    </row>
    <row r="106" customFormat="false" ht="15" hidden="false" customHeight="false" outlineLevel="0" collapsed="false">
      <c r="A106" s="2" t="s">
        <v>59</v>
      </c>
      <c r="B106" s="2" t="n">
        <v>2</v>
      </c>
      <c r="C106" s="19" t="s">
        <v>264</v>
      </c>
      <c r="D106" s="2" t="s">
        <v>117</v>
      </c>
      <c r="E106" s="20" t="n">
        <v>120</v>
      </c>
      <c r="F106" s="9" t="n">
        <v>14</v>
      </c>
      <c r="G106" s="2" t="s">
        <v>130</v>
      </c>
      <c r="H106" s="2" t="s">
        <v>131</v>
      </c>
      <c r="I106" s="4" t="n">
        <f aca="false">F106*VLOOKUP(IF(G106="ر.س","SAR",G106),المدخلات!$A$4:$B$9,2,FALSE())*IF(H106="نعم",المدخلات!$B$11,1)</f>
        <v>14</v>
      </c>
      <c r="J106" s="4" t="n">
        <f aca="false">E106*I106</f>
        <v>1680</v>
      </c>
      <c r="K106" s="2" t="s">
        <v>30</v>
      </c>
      <c r="L106" s="2" t="s">
        <v>27</v>
      </c>
      <c r="M106" s="19" t="s">
        <v>150</v>
      </c>
      <c r="N106" s="2"/>
    </row>
    <row r="107" customFormat="false" ht="15" hidden="false" customHeight="false" outlineLevel="0" collapsed="false">
      <c r="A107" s="2" t="s">
        <v>59</v>
      </c>
      <c r="B107" s="2" t="n">
        <v>3</v>
      </c>
      <c r="C107" s="19" t="s">
        <v>265</v>
      </c>
      <c r="D107" s="2" t="s">
        <v>117</v>
      </c>
      <c r="E107" s="20" t="n">
        <v>100</v>
      </c>
      <c r="F107" s="9" t="n">
        <v>10</v>
      </c>
      <c r="G107" s="2" t="s">
        <v>130</v>
      </c>
      <c r="H107" s="2" t="s">
        <v>131</v>
      </c>
      <c r="I107" s="4" t="n">
        <f aca="false">F107*VLOOKUP(IF(G107="ر.س","SAR",G107),المدخلات!$A$4:$B$9,2,FALSE())*IF(H107="نعم",المدخلات!$B$11,1)</f>
        <v>10</v>
      </c>
      <c r="J107" s="4" t="n">
        <f aca="false">E107*I107</f>
        <v>1000</v>
      </c>
      <c r="K107" s="2" t="s">
        <v>30</v>
      </c>
      <c r="L107" s="2" t="s">
        <v>27</v>
      </c>
      <c r="M107" s="19" t="s">
        <v>150</v>
      </c>
      <c r="N107" s="2"/>
    </row>
    <row r="108" customFormat="false" ht="15" hidden="false" customHeight="false" outlineLevel="0" collapsed="false">
      <c r="A108" s="2" t="s">
        <v>59</v>
      </c>
      <c r="B108" s="2" t="n">
        <v>4</v>
      </c>
      <c r="C108" s="19" t="s">
        <v>266</v>
      </c>
      <c r="D108" s="2" t="s">
        <v>117</v>
      </c>
      <c r="E108" s="20" t="n">
        <v>150</v>
      </c>
      <c r="F108" s="9" t="n">
        <v>7</v>
      </c>
      <c r="G108" s="2" t="s">
        <v>130</v>
      </c>
      <c r="H108" s="2" t="s">
        <v>131</v>
      </c>
      <c r="I108" s="4" t="n">
        <f aca="false">F108*VLOOKUP(IF(G108="ر.س","SAR",G108),المدخلات!$A$4:$B$9,2,FALSE())*IF(H108="نعم",المدخلات!$B$11,1)</f>
        <v>7</v>
      </c>
      <c r="J108" s="4" t="n">
        <f aca="false">E108*I108</f>
        <v>1050</v>
      </c>
      <c r="K108" s="2" t="s">
        <v>30</v>
      </c>
      <c r="L108" s="2" t="s">
        <v>27</v>
      </c>
      <c r="M108" s="19" t="s">
        <v>150</v>
      </c>
      <c r="N108" s="2"/>
    </row>
    <row r="109" customFormat="false" ht="15" hidden="false" customHeight="false" outlineLevel="0" collapsed="false">
      <c r="A109" s="2" t="s">
        <v>59</v>
      </c>
      <c r="B109" s="2" t="n">
        <v>5</v>
      </c>
      <c r="C109" s="19" t="s">
        <v>267</v>
      </c>
      <c r="D109" s="2" t="s">
        <v>117</v>
      </c>
      <c r="E109" s="20" t="n">
        <v>10</v>
      </c>
      <c r="F109" s="9" t="n">
        <v>60</v>
      </c>
      <c r="G109" s="2" t="s">
        <v>130</v>
      </c>
      <c r="H109" s="2" t="s">
        <v>131</v>
      </c>
      <c r="I109" s="4" t="n">
        <f aca="false">F109*VLOOKUP(IF(G109="ر.س","SAR",G109),المدخلات!$A$4:$B$9,2,FALSE())*IF(H109="نعم",المدخلات!$B$11,1)</f>
        <v>60</v>
      </c>
      <c r="J109" s="4" t="n">
        <f aca="false">E109*I109</f>
        <v>600</v>
      </c>
      <c r="K109" s="2" t="s">
        <v>30</v>
      </c>
      <c r="L109" s="2" t="s">
        <v>27</v>
      </c>
      <c r="M109" s="19" t="s">
        <v>150</v>
      </c>
      <c r="N109" s="2"/>
    </row>
    <row r="110" customFormat="false" ht="15" hidden="false" customHeight="false" outlineLevel="0" collapsed="false">
      <c r="A110" s="2" t="s">
        <v>59</v>
      </c>
      <c r="B110" s="2" t="n">
        <v>6</v>
      </c>
      <c r="C110" s="19" t="s">
        <v>268</v>
      </c>
      <c r="D110" s="2" t="s">
        <v>159</v>
      </c>
      <c r="E110" s="20" t="n">
        <v>1</v>
      </c>
      <c r="F110" s="9" t="n">
        <v>2500</v>
      </c>
      <c r="G110" s="2" t="s">
        <v>130</v>
      </c>
      <c r="H110" s="2" t="s">
        <v>131</v>
      </c>
      <c r="I110" s="4" t="n">
        <f aca="false">F110*VLOOKUP(IF(G110="ر.س","SAR",G110),المدخلات!$A$4:$B$9,2,FALSE())*IF(H110="نعم",المدخلات!$B$11,1)</f>
        <v>2500</v>
      </c>
      <c r="J110" s="4" t="n">
        <f aca="false">E110*I110</f>
        <v>2500</v>
      </c>
      <c r="K110" s="2" t="s">
        <v>30</v>
      </c>
      <c r="L110" s="2" t="s">
        <v>27</v>
      </c>
      <c r="M110" s="19" t="s">
        <v>150</v>
      </c>
      <c r="N110" s="2"/>
    </row>
    <row r="111" customFormat="false" ht="15" hidden="false" customHeight="false" outlineLevel="0" collapsed="false">
      <c r="A111" s="2" t="s">
        <v>59</v>
      </c>
      <c r="B111" s="2" t="n">
        <v>7</v>
      </c>
      <c r="C111" s="19" t="s">
        <v>269</v>
      </c>
      <c r="D111" s="2" t="s">
        <v>140</v>
      </c>
      <c r="E111" s="20" t="n">
        <v>16</v>
      </c>
      <c r="F111" s="9" t="n">
        <v>180</v>
      </c>
      <c r="G111" s="2" t="s">
        <v>130</v>
      </c>
      <c r="H111" s="2" t="s">
        <v>131</v>
      </c>
      <c r="I111" s="4" t="n">
        <f aca="false">F111*VLOOKUP(IF(G111="ر.س","SAR",G111),المدخلات!$A$4:$B$9,2,FALSE())*IF(H111="نعم",المدخلات!$B$11,1)</f>
        <v>180</v>
      </c>
      <c r="J111" s="4" t="n">
        <f aca="false">E111*I111</f>
        <v>2880</v>
      </c>
      <c r="K111" s="2" t="s">
        <v>30</v>
      </c>
      <c r="L111" s="2" t="s">
        <v>27</v>
      </c>
      <c r="M111" s="19" t="s">
        <v>150</v>
      </c>
      <c r="N111" s="2"/>
    </row>
    <row r="112" customFormat="false" ht="15" hidden="false" customHeight="false" outlineLevel="0" collapsed="false">
      <c r="A112" s="2" t="s">
        <v>59</v>
      </c>
      <c r="B112" s="2" t="n">
        <v>8</v>
      </c>
      <c r="C112" s="19" t="s">
        <v>270</v>
      </c>
      <c r="D112" s="2" t="s">
        <v>140</v>
      </c>
      <c r="E112" s="20" t="n">
        <v>4</v>
      </c>
      <c r="F112" s="9" t="n">
        <v>250</v>
      </c>
      <c r="G112" s="2" t="s">
        <v>130</v>
      </c>
      <c r="H112" s="2" t="s">
        <v>131</v>
      </c>
      <c r="I112" s="4" t="n">
        <f aca="false">F112*VLOOKUP(IF(G112="ر.س","SAR",G112),المدخلات!$A$4:$B$9,2,FALSE())*IF(H112="نعم",المدخلات!$B$11,1)</f>
        <v>250</v>
      </c>
      <c r="J112" s="4" t="n">
        <f aca="false">E112*I112</f>
        <v>1000</v>
      </c>
      <c r="K112" s="2" t="s">
        <v>30</v>
      </c>
      <c r="L112" s="2" t="s">
        <v>27</v>
      </c>
      <c r="M112" s="19" t="s">
        <v>150</v>
      </c>
      <c r="N112" s="2"/>
    </row>
    <row r="113" customFormat="false" ht="15" hidden="false" customHeight="false" outlineLevel="0" collapsed="false">
      <c r="A113" s="2" t="s">
        <v>59</v>
      </c>
      <c r="B113" s="2" t="n">
        <v>9</v>
      </c>
      <c r="C113" s="19" t="s">
        <v>271</v>
      </c>
      <c r="D113" s="2" t="s">
        <v>140</v>
      </c>
      <c r="E113" s="20" t="n">
        <v>8</v>
      </c>
      <c r="F113" s="9" t="n">
        <v>220</v>
      </c>
      <c r="G113" s="2" t="s">
        <v>130</v>
      </c>
      <c r="H113" s="2" t="s">
        <v>131</v>
      </c>
      <c r="I113" s="4" t="n">
        <f aca="false">F113*VLOOKUP(IF(G113="ر.س","SAR",G113),المدخلات!$A$4:$B$9,2,FALSE())*IF(H113="نعم",المدخلات!$B$11,1)</f>
        <v>220</v>
      </c>
      <c r="J113" s="4" t="n">
        <f aca="false">E113*I113</f>
        <v>1760</v>
      </c>
      <c r="K113" s="2" t="s">
        <v>30</v>
      </c>
      <c r="L113" s="2" t="s">
        <v>27</v>
      </c>
      <c r="M113" s="19" t="s">
        <v>150</v>
      </c>
      <c r="N113" s="2"/>
    </row>
    <row r="114" customFormat="false" ht="15" hidden="false" customHeight="false" outlineLevel="0" collapsed="false">
      <c r="A114" s="2" t="s">
        <v>59</v>
      </c>
      <c r="B114" s="2" t="n">
        <v>10</v>
      </c>
      <c r="C114" s="19" t="s">
        <v>272</v>
      </c>
      <c r="D114" s="2" t="s">
        <v>140</v>
      </c>
      <c r="E114" s="20" t="n">
        <v>20</v>
      </c>
      <c r="F114" s="9" t="n">
        <v>45</v>
      </c>
      <c r="G114" s="2" t="s">
        <v>130</v>
      </c>
      <c r="H114" s="2" t="s">
        <v>131</v>
      </c>
      <c r="I114" s="4" t="n">
        <f aca="false">F114*VLOOKUP(IF(G114="ر.س","SAR",G114),المدخلات!$A$4:$B$9,2,FALSE())*IF(H114="نعم",المدخلات!$B$11,1)</f>
        <v>45</v>
      </c>
      <c r="J114" s="4" t="n">
        <f aca="false">E114*I114</f>
        <v>900</v>
      </c>
      <c r="K114" s="2" t="s">
        <v>30</v>
      </c>
      <c r="L114" s="2" t="s">
        <v>27</v>
      </c>
      <c r="M114" s="19" t="s">
        <v>150</v>
      </c>
      <c r="N114" s="2"/>
    </row>
    <row r="115" customFormat="false" ht="15" hidden="false" customHeight="false" outlineLevel="0" collapsed="false">
      <c r="A115" s="2" t="s">
        <v>59</v>
      </c>
      <c r="B115" s="2" t="n">
        <v>11</v>
      </c>
      <c r="C115" s="19" t="s">
        <v>273</v>
      </c>
      <c r="D115" s="2" t="s">
        <v>144</v>
      </c>
      <c r="E115" s="20" t="n">
        <v>1</v>
      </c>
      <c r="F115" s="9" t="n">
        <v>2800</v>
      </c>
      <c r="G115" s="2" t="s">
        <v>130</v>
      </c>
      <c r="H115" s="2" t="s">
        <v>131</v>
      </c>
      <c r="I115" s="4" t="n">
        <f aca="false">F115*VLOOKUP(IF(G115="ر.س","SAR",G115),المدخلات!$A$4:$B$9,2,FALSE())*IF(H115="نعم",المدخلات!$B$11,1)</f>
        <v>2800</v>
      </c>
      <c r="J115" s="4" t="n">
        <f aca="false">E115*I115</f>
        <v>2800</v>
      </c>
      <c r="K115" s="2" t="s">
        <v>30</v>
      </c>
      <c r="L115" s="2" t="s">
        <v>27</v>
      </c>
      <c r="M115" s="19" t="s">
        <v>150</v>
      </c>
      <c r="N115" s="2"/>
    </row>
    <row r="116" customFormat="false" ht="15" hidden="false" customHeight="false" outlineLevel="0" collapsed="false">
      <c r="A116" s="2" t="s">
        <v>59</v>
      </c>
      <c r="B116" s="2" t="n">
        <v>12</v>
      </c>
      <c r="C116" s="19" t="s">
        <v>274</v>
      </c>
      <c r="D116" s="2" t="s">
        <v>144</v>
      </c>
      <c r="E116" s="20" t="n">
        <v>1</v>
      </c>
      <c r="F116" s="9" t="n">
        <v>1050</v>
      </c>
      <c r="G116" s="2" t="s">
        <v>130</v>
      </c>
      <c r="H116" s="2" t="s">
        <v>131</v>
      </c>
      <c r="I116" s="4" t="n">
        <f aca="false">F116*VLOOKUP(IF(G116="ر.س","SAR",G116),المدخلات!$A$4:$B$9,2,FALSE())*IF(H116="نعم",المدخلات!$B$11,1)</f>
        <v>1050</v>
      </c>
      <c r="J116" s="4" t="n">
        <f aca="false">E116*I116</f>
        <v>1050</v>
      </c>
      <c r="K116" s="2" t="s">
        <v>30</v>
      </c>
      <c r="L116" s="2" t="s">
        <v>27</v>
      </c>
      <c r="M116" s="19" t="s">
        <v>150</v>
      </c>
      <c r="N116" s="2"/>
    </row>
    <row r="117" customFormat="false" ht="15" hidden="false" customHeight="false" outlineLevel="0" collapsed="false">
      <c r="A117" s="2" t="s">
        <v>59</v>
      </c>
      <c r="B117" s="2" t="n">
        <v>13</v>
      </c>
      <c r="C117" s="19" t="s">
        <v>275</v>
      </c>
      <c r="D117" s="2" t="s">
        <v>144</v>
      </c>
      <c r="E117" s="20" t="n">
        <v>1</v>
      </c>
      <c r="F117" s="9" t="n">
        <v>1500</v>
      </c>
      <c r="G117" s="2" t="s">
        <v>130</v>
      </c>
      <c r="H117" s="2" t="s">
        <v>131</v>
      </c>
      <c r="I117" s="4" t="n">
        <f aca="false">F117*VLOOKUP(IF(G117="ر.س","SAR",G117),المدخلات!$A$4:$B$9,2,FALSE())*IF(H117="نعم",المدخلات!$B$11,1)</f>
        <v>1500</v>
      </c>
      <c r="J117" s="4" t="n">
        <f aca="false">E117*I117</f>
        <v>1500</v>
      </c>
      <c r="K117" s="2" t="s">
        <v>30</v>
      </c>
      <c r="L117" s="2" t="s">
        <v>27</v>
      </c>
      <c r="M117" s="19" t="s">
        <v>150</v>
      </c>
      <c r="N117" s="2"/>
    </row>
    <row r="118" customFormat="false" ht="15" hidden="false" customHeight="false" outlineLevel="0" collapsed="false">
      <c r="A118" s="2" t="s">
        <v>59</v>
      </c>
      <c r="B118" s="2" t="n">
        <v>14</v>
      </c>
      <c r="C118" s="19" t="s">
        <v>276</v>
      </c>
      <c r="D118" s="2" t="s">
        <v>144</v>
      </c>
      <c r="E118" s="20" t="n">
        <v>1</v>
      </c>
      <c r="F118" s="9" t="n">
        <v>2500</v>
      </c>
      <c r="G118" s="2" t="s">
        <v>130</v>
      </c>
      <c r="H118" s="2" t="s">
        <v>131</v>
      </c>
      <c r="I118" s="4" t="n">
        <f aca="false">F118*VLOOKUP(IF(G118="ر.س","SAR",G118),المدخلات!$A$4:$B$9,2,FALSE())*IF(H118="نعم",المدخلات!$B$11,1)</f>
        <v>2500</v>
      </c>
      <c r="J118" s="4" t="n">
        <f aca="false">E118*I118</f>
        <v>2500</v>
      </c>
      <c r="K118" s="2" t="s">
        <v>30</v>
      </c>
      <c r="L118" s="2" t="s">
        <v>27</v>
      </c>
      <c r="M118" s="19" t="s">
        <v>150</v>
      </c>
      <c r="N118" s="2"/>
    </row>
    <row r="119" customFormat="false" ht="15" hidden="false" customHeight="false" outlineLevel="0" collapsed="false">
      <c r="A119" s="2" t="s">
        <v>59</v>
      </c>
      <c r="B119" s="2" t="n">
        <v>15</v>
      </c>
      <c r="C119" s="19" t="s">
        <v>277</v>
      </c>
      <c r="D119" s="2" t="s">
        <v>135</v>
      </c>
      <c r="E119" s="20" t="n">
        <v>24</v>
      </c>
      <c r="F119" s="21" t="n">
        <f aca="false">المدخلات!$B$13</f>
        <v>380</v>
      </c>
      <c r="G119" s="2" t="s">
        <v>130</v>
      </c>
      <c r="H119" s="2" t="s">
        <v>131</v>
      </c>
      <c r="I119" s="4" t="n">
        <f aca="false">F119*VLOOKUP(IF(G119="ر.س","SAR",G119),المدخلات!$A$4:$B$9,2,FALSE())*IF(H119="نعم",المدخلات!$B$11,1)</f>
        <v>380</v>
      </c>
      <c r="J119" s="4" t="n">
        <f aca="false">E119*I119</f>
        <v>9120</v>
      </c>
      <c r="K119" s="2" t="s">
        <v>31</v>
      </c>
      <c r="L119" s="2" t="s">
        <v>27</v>
      </c>
      <c r="M119" s="19" t="s">
        <v>182</v>
      </c>
      <c r="N119" s="2" t="s">
        <v>137</v>
      </c>
    </row>
    <row r="120" customFormat="false" ht="15" hidden="false" customHeight="false" outlineLevel="0" collapsed="false">
      <c r="A120" s="2" t="s">
        <v>59</v>
      </c>
      <c r="B120" s="2" t="n">
        <v>16</v>
      </c>
      <c r="C120" s="19" t="s">
        <v>278</v>
      </c>
      <c r="D120" s="2" t="s">
        <v>135</v>
      </c>
      <c r="E120" s="20" t="n">
        <v>12</v>
      </c>
      <c r="F120" s="21" t="n">
        <f aca="false">المدخلات!$B$14</f>
        <v>250</v>
      </c>
      <c r="G120" s="2" t="s">
        <v>130</v>
      </c>
      <c r="H120" s="2" t="s">
        <v>131</v>
      </c>
      <c r="I120" s="4" t="n">
        <f aca="false">F120*VLOOKUP(IF(G120="ر.س","SAR",G120),المدخلات!$A$4:$B$9,2,FALSE())*IF(H120="نعم",المدخلات!$B$11,1)</f>
        <v>250</v>
      </c>
      <c r="J120" s="4" t="n">
        <f aca="false">E120*I120</f>
        <v>3000</v>
      </c>
      <c r="K120" s="2" t="s">
        <v>31</v>
      </c>
      <c r="L120" s="2" t="s">
        <v>27</v>
      </c>
      <c r="M120" s="19" t="s">
        <v>182</v>
      </c>
      <c r="N120" s="2" t="s">
        <v>137</v>
      </c>
    </row>
    <row r="121" customFormat="false" ht="15" hidden="false" customHeight="false" outlineLevel="0" collapsed="false">
      <c r="A121" s="22"/>
      <c r="B121" s="22"/>
      <c r="C121" s="23" t="s">
        <v>279</v>
      </c>
      <c r="D121" s="22"/>
      <c r="E121" s="22"/>
      <c r="F121" s="22"/>
      <c r="G121" s="22"/>
      <c r="H121" s="22"/>
      <c r="I121" s="22"/>
      <c r="J121" s="24" t="n">
        <f aca="false">SUMIF($A$4:$A$120,"08",$J$4:$J$120)</f>
        <v>39840</v>
      </c>
      <c r="K121" s="22"/>
      <c r="L121" s="22"/>
      <c r="M121" s="22"/>
      <c r="N121" s="2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5" hidden="false" customHeight="false" outlineLevel="0" collapsed="false">
      <c r="A123" s="17"/>
      <c r="B123" s="17"/>
      <c r="C123" s="18" t="s">
        <v>280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 customFormat="false" ht="26.85" hidden="false" customHeight="false" outlineLevel="0" collapsed="false">
      <c r="A124" s="2" t="s">
        <v>61</v>
      </c>
      <c r="B124" s="2" t="n">
        <v>1</v>
      </c>
      <c r="C124" s="19" t="s">
        <v>281</v>
      </c>
      <c r="D124" s="2" t="s">
        <v>140</v>
      </c>
      <c r="E124" s="20" t="n">
        <v>1</v>
      </c>
      <c r="F124" s="9" t="n">
        <v>3112.5</v>
      </c>
      <c r="G124" s="2" t="s">
        <v>91</v>
      </c>
      <c r="H124" s="2" t="s">
        <v>141</v>
      </c>
      <c r="I124" s="4" t="n">
        <f aca="false">F124*VLOOKUP(IF(G124="ر.س","SAR",G124),المدخلات!$A$4:$B$9,2,FALSE())*IF(H124="نعم",المدخلات!$B$11,1)</f>
        <v>15570.28125</v>
      </c>
      <c r="J124" s="4" t="n">
        <f aca="false">E124*I124</f>
        <v>15570.28125</v>
      </c>
      <c r="K124" s="2" t="s">
        <v>30</v>
      </c>
      <c r="L124" s="2" t="s">
        <v>25</v>
      </c>
      <c r="M124" s="19" t="s">
        <v>282</v>
      </c>
      <c r="N124" s="2" t="s">
        <v>283</v>
      </c>
    </row>
    <row r="125" customFormat="false" ht="15" hidden="false" customHeight="false" outlineLevel="0" collapsed="false">
      <c r="A125" s="2" t="s">
        <v>61</v>
      </c>
      <c r="B125" s="2" t="n">
        <v>2</v>
      </c>
      <c r="C125" s="19" t="s">
        <v>284</v>
      </c>
      <c r="D125" s="2" t="s">
        <v>144</v>
      </c>
      <c r="E125" s="20" t="n">
        <v>1</v>
      </c>
      <c r="F125" s="9" t="n">
        <v>2500</v>
      </c>
      <c r="G125" s="2" t="s">
        <v>130</v>
      </c>
      <c r="H125" s="2" t="s">
        <v>131</v>
      </c>
      <c r="I125" s="4" t="n">
        <f aca="false">F125*VLOOKUP(IF(G125="ر.س","SAR",G125),المدخلات!$A$4:$B$9,2,FALSE())*IF(H125="نعم",المدخلات!$B$11,1)</f>
        <v>2500</v>
      </c>
      <c r="J125" s="4" t="n">
        <f aca="false">E125*I125</f>
        <v>2500</v>
      </c>
      <c r="K125" s="2" t="s">
        <v>30</v>
      </c>
      <c r="L125" s="2" t="s">
        <v>27</v>
      </c>
      <c r="M125" s="19" t="s">
        <v>150</v>
      </c>
      <c r="N125" s="2"/>
    </row>
    <row r="126" customFormat="false" ht="15" hidden="false" customHeight="false" outlineLevel="0" collapsed="false">
      <c r="A126" s="2" t="s">
        <v>61</v>
      </c>
      <c r="B126" s="2" t="n">
        <v>3</v>
      </c>
      <c r="C126" s="19" t="s">
        <v>285</v>
      </c>
      <c r="D126" s="2" t="s">
        <v>144</v>
      </c>
      <c r="E126" s="20" t="n">
        <v>1</v>
      </c>
      <c r="F126" s="9" t="n">
        <v>1800</v>
      </c>
      <c r="G126" s="2" t="s">
        <v>130</v>
      </c>
      <c r="H126" s="2" t="s">
        <v>131</v>
      </c>
      <c r="I126" s="4" t="n">
        <f aca="false">F126*VLOOKUP(IF(G126="ر.س","SAR",G126),المدخلات!$A$4:$B$9,2,FALSE())*IF(H126="نعم",المدخلات!$B$11,1)</f>
        <v>1800</v>
      </c>
      <c r="J126" s="4" t="n">
        <f aca="false">E126*I126</f>
        <v>1800</v>
      </c>
      <c r="K126" s="2" t="s">
        <v>30</v>
      </c>
      <c r="L126" s="2" t="s">
        <v>27</v>
      </c>
      <c r="M126" s="19" t="s">
        <v>150</v>
      </c>
      <c r="N126" s="2"/>
    </row>
    <row r="127" customFormat="false" ht="15" hidden="false" customHeight="false" outlineLevel="0" collapsed="false">
      <c r="A127" s="2" t="s">
        <v>61</v>
      </c>
      <c r="B127" s="2" t="n">
        <v>4</v>
      </c>
      <c r="C127" s="19" t="s">
        <v>286</v>
      </c>
      <c r="D127" s="2" t="s">
        <v>144</v>
      </c>
      <c r="E127" s="20" t="n">
        <v>1</v>
      </c>
      <c r="F127" s="9" t="n">
        <v>2200</v>
      </c>
      <c r="G127" s="2" t="s">
        <v>130</v>
      </c>
      <c r="H127" s="2" t="s">
        <v>131</v>
      </c>
      <c r="I127" s="4" t="n">
        <f aca="false">F127*VLOOKUP(IF(G127="ر.س","SAR",G127),المدخلات!$A$4:$B$9,2,FALSE())*IF(H127="نعم",المدخلات!$B$11,1)</f>
        <v>2200</v>
      </c>
      <c r="J127" s="4" t="n">
        <f aca="false">E127*I127</f>
        <v>2200</v>
      </c>
      <c r="K127" s="2" t="s">
        <v>30</v>
      </c>
      <c r="L127" s="2" t="s">
        <v>27</v>
      </c>
      <c r="M127" s="19" t="s">
        <v>150</v>
      </c>
      <c r="N127" s="2"/>
    </row>
    <row r="128" customFormat="false" ht="15" hidden="false" customHeight="false" outlineLevel="0" collapsed="false">
      <c r="A128" s="2" t="s">
        <v>61</v>
      </c>
      <c r="B128" s="2" t="n">
        <v>5</v>
      </c>
      <c r="C128" s="19" t="s">
        <v>287</v>
      </c>
      <c r="D128" s="2" t="s">
        <v>135</v>
      </c>
      <c r="E128" s="20" t="n">
        <v>6</v>
      </c>
      <c r="F128" s="21" t="n">
        <f aca="false">المدخلات!$B$13</f>
        <v>380</v>
      </c>
      <c r="G128" s="2" t="s">
        <v>130</v>
      </c>
      <c r="H128" s="2" t="s">
        <v>131</v>
      </c>
      <c r="I128" s="4" t="n">
        <f aca="false">F128*VLOOKUP(IF(G128="ر.س","SAR",G128),المدخلات!$A$4:$B$9,2,FALSE())*IF(H128="نعم",المدخلات!$B$11,1)</f>
        <v>380</v>
      </c>
      <c r="J128" s="4" t="n">
        <f aca="false">E128*I128</f>
        <v>2280</v>
      </c>
      <c r="K128" s="2" t="s">
        <v>31</v>
      </c>
      <c r="L128" s="2" t="s">
        <v>27</v>
      </c>
      <c r="M128" s="19" t="s">
        <v>182</v>
      </c>
      <c r="N128" s="2" t="s">
        <v>137</v>
      </c>
    </row>
    <row r="129" customFormat="false" ht="15" hidden="false" customHeight="false" outlineLevel="0" collapsed="false">
      <c r="A129" s="22"/>
      <c r="B129" s="22"/>
      <c r="C129" s="23" t="s">
        <v>288</v>
      </c>
      <c r="D129" s="22"/>
      <c r="E129" s="22"/>
      <c r="F129" s="22"/>
      <c r="G129" s="22"/>
      <c r="H129" s="22"/>
      <c r="I129" s="22"/>
      <c r="J129" s="24" t="n">
        <f aca="false">SUMIF($A$4:$A$128,"09",$J$4:$J$128)</f>
        <v>24350.28125</v>
      </c>
      <c r="K129" s="22"/>
      <c r="L129" s="22"/>
      <c r="M129" s="22"/>
      <c r="N129" s="2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17"/>
      <c r="B131" s="17"/>
      <c r="C131" s="18" t="s">
        <v>289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customFormat="false" ht="15" hidden="false" customHeight="false" outlineLevel="0" collapsed="false">
      <c r="A132" s="2" t="s">
        <v>63</v>
      </c>
      <c r="B132" s="2" t="n">
        <v>1</v>
      </c>
      <c r="C132" s="19" t="s">
        <v>290</v>
      </c>
      <c r="D132" s="2" t="s">
        <v>140</v>
      </c>
      <c r="E132" s="20" t="n">
        <v>2</v>
      </c>
      <c r="F132" s="9" t="n">
        <v>2606.95</v>
      </c>
      <c r="G132" s="2" t="s">
        <v>89</v>
      </c>
      <c r="H132" s="2" t="s">
        <v>141</v>
      </c>
      <c r="I132" s="4" t="n">
        <f aca="false">F132*VLOOKUP(IF(G132="ر.س","SAR",G132),المدخلات!$A$4:$B$9,2,FALSE())*IF(H132="نعم",المدخلات!$B$11,1)</f>
        <v>11242.471875</v>
      </c>
      <c r="J132" s="4" t="n">
        <f aca="false">E132*I132</f>
        <v>22484.94375</v>
      </c>
      <c r="K132" s="2" t="s">
        <v>30</v>
      </c>
      <c r="L132" s="2" t="s">
        <v>25</v>
      </c>
      <c r="M132" s="19" t="s">
        <v>291</v>
      </c>
      <c r="N132" s="2" t="s">
        <v>292</v>
      </c>
    </row>
    <row r="133" customFormat="false" ht="26.85" hidden="false" customHeight="false" outlineLevel="0" collapsed="false">
      <c r="A133" s="2" t="s">
        <v>63</v>
      </c>
      <c r="B133" s="2" t="n">
        <v>2</v>
      </c>
      <c r="C133" s="19" t="s">
        <v>293</v>
      </c>
      <c r="D133" s="2" t="s">
        <v>140</v>
      </c>
      <c r="E133" s="20" t="n">
        <v>2</v>
      </c>
      <c r="F133" s="9" t="n">
        <v>3191</v>
      </c>
      <c r="G133" s="2" t="s">
        <v>89</v>
      </c>
      <c r="H133" s="2" t="s">
        <v>141</v>
      </c>
      <c r="I133" s="4" t="n">
        <f aca="false">F133*VLOOKUP(IF(G133="ر.س","SAR",G133),المدخلات!$A$4:$B$9,2,FALSE())*IF(H133="نعم",المدخلات!$B$11,1)</f>
        <v>13761.1875</v>
      </c>
      <c r="J133" s="4" t="n">
        <f aca="false">E133*I133</f>
        <v>27522.375</v>
      </c>
      <c r="K133" s="2" t="s">
        <v>30</v>
      </c>
      <c r="L133" s="2" t="s">
        <v>25</v>
      </c>
      <c r="M133" s="19" t="s">
        <v>294</v>
      </c>
      <c r="N133" s="2" t="s">
        <v>295</v>
      </c>
    </row>
    <row r="134" customFormat="false" ht="15" hidden="false" customHeight="false" outlineLevel="0" collapsed="false">
      <c r="A134" s="2" t="s">
        <v>63</v>
      </c>
      <c r="B134" s="2" t="n">
        <v>3</v>
      </c>
      <c r="C134" s="19" t="s">
        <v>296</v>
      </c>
      <c r="D134" s="2" t="s">
        <v>140</v>
      </c>
      <c r="E134" s="20" t="n">
        <v>1</v>
      </c>
      <c r="F134" s="9" t="n">
        <v>2500</v>
      </c>
      <c r="G134" s="2" t="s">
        <v>130</v>
      </c>
      <c r="H134" s="2" t="s">
        <v>131</v>
      </c>
      <c r="I134" s="4" t="n">
        <f aca="false">F134*VLOOKUP(IF(G134="ر.س","SAR",G134),المدخلات!$A$4:$B$9,2,FALSE())*IF(H134="نعم",المدخلات!$B$11,1)</f>
        <v>2500</v>
      </c>
      <c r="J134" s="4" t="n">
        <f aca="false">E134*I134</f>
        <v>2500</v>
      </c>
      <c r="K134" s="2" t="s">
        <v>30</v>
      </c>
      <c r="L134" s="2" t="s">
        <v>27</v>
      </c>
      <c r="M134" s="19" t="s">
        <v>150</v>
      </c>
      <c r="N134" s="2"/>
    </row>
    <row r="135" customFormat="false" ht="15" hidden="false" customHeight="false" outlineLevel="0" collapsed="false">
      <c r="A135" s="2" t="s">
        <v>63</v>
      </c>
      <c r="B135" s="2" t="n">
        <v>4</v>
      </c>
      <c r="C135" s="19" t="s">
        <v>297</v>
      </c>
      <c r="D135" s="2" t="s">
        <v>140</v>
      </c>
      <c r="E135" s="20" t="n">
        <v>1</v>
      </c>
      <c r="F135" s="9" t="n">
        <v>268</v>
      </c>
      <c r="G135" s="2" t="s">
        <v>91</v>
      </c>
      <c r="H135" s="2" t="s">
        <v>141</v>
      </c>
      <c r="I135" s="4" t="n">
        <f aca="false">F135*VLOOKUP(IF(G135="ر.س","SAR",G135),المدخلات!$A$4:$B$9,2,FALSE())*IF(H135="نعم",المدخلات!$B$11,1)</f>
        <v>1340.67</v>
      </c>
      <c r="J135" s="4" t="n">
        <f aca="false">E135*I135</f>
        <v>1340.67</v>
      </c>
      <c r="K135" s="2" t="s">
        <v>30</v>
      </c>
      <c r="L135" s="2" t="s">
        <v>25</v>
      </c>
      <c r="M135" s="19" t="s">
        <v>298</v>
      </c>
      <c r="N135" s="2" t="s">
        <v>299</v>
      </c>
    </row>
    <row r="136" customFormat="false" ht="15" hidden="false" customHeight="false" outlineLevel="0" collapsed="false">
      <c r="A136" s="2" t="s">
        <v>63</v>
      </c>
      <c r="B136" s="2" t="n">
        <v>5</v>
      </c>
      <c r="C136" s="19" t="s">
        <v>300</v>
      </c>
      <c r="D136" s="2" t="s">
        <v>140</v>
      </c>
      <c r="E136" s="20" t="n">
        <v>1</v>
      </c>
      <c r="F136" s="9" t="n">
        <v>323.85</v>
      </c>
      <c r="G136" s="2" t="s">
        <v>89</v>
      </c>
      <c r="H136" s="2" t="s">
        <v>141</v>
      </c>
      <c r="I136" s="4" t="n">
        <f aca="false">F136*VLOOKUP(IF(G136="ر.س","SAR",G136),المدخلات!$A$4:$B$9,2,FALSE())*IF(H136="نعم",المدخلات!$B$11,1)</f>
        <v>1396.603125</v>
      </c>
      <c r="J136" s="4" t="n">
        <f aca="false">E136*I136</f>
        <v>1396.603125</v>
      </c>
      <c r="K136" s="2" t="s">
        <v>30</v>
      </c>
      <c r="L136" s="2" t="s">
        <v>25</v>
      </c>
      <c r="M136" s="19" t="s">
        <v>301</v>
      </c>
      <c r="N136" s="2" t="s">
        <v>302</v>
      </c>
    </row>
    <row r="137" customFormat="false" ht="15" hidden="false" customHeight="false" outlineLevel="0" collapsed="false">
      <c r="A137" s="2" t="s">
        <v>63</v>
      </c>
      <c r="B137" s="2" t="n">
        <v>6</v>
      </c>
      <c r="C137" s="19" t="s">
        <v>303</v>
      </c>
      <c r="D137" s="2" t="s">
        <v>140</v>
      </c>
      <c r="E137" s="20" t="n">
        <v>1</v>
      </c>
      <c r="F137" s="9" t="n">
        <v>211.65</v>
      </c>
      <c r="G137" s="2" t="s">
        <v>89</v>
      </c>
      <c r="H137" s="2" t="s">
        <v>141</v>
      </c>
      <c r="I137" s="4" t="n">
        <f aca="false">F137*VLOOKUP(IF(G137="ر.س","SAR",G137),المدخلات!$A$4:$B$9,2,FALSE())*IF(H137="نعم",المدخلات!$B$11,1)</f>
        <v>912.740625</v>
      </c>
      <c r="J137" s="4" t="n">
        <f aca="false">E137*I137</f>
        <v>912.740625</v>
      </c>
      <c r="K137" s="2" t="s">
        <v>30</v>
      </c>
      <c r="L137" s="2" t="s">
        <v>25</v>
      </c>
      <c r="M137" s="19" t="s">
        <v>304</v>
      </c>
      <c r="N137" s="2" t="s">
        <v>305</v>
      </c>
    </row>
    <row r="138" customFormat="false" ht="15" hidden="false" customHeight="false" outlineLevel="0" collapsed="false">
      <c r="A138" s="2" t="s">
        <v>63</v>
      </c>
      <c r="B138" s="2" t="n">
        <v>7</v>
      </c>
      <c r="C138" s="19" t="s">
        <v>306</v>
      </c>
      <c r="D138" s="2" t="s">
        <v>144</v>
      </c>
      <c r="E138" s="20" t="n">
        <v>1</v>
      </c>
      <c r="F138" s="9" t="n">
        <v>137</v>
      </c>
      <c r="G138" s="2" t="s">
        <v>93</v>
      </c>
      <c r="H138" s="2" t="s">
        <v>141</v>
      </c>
      <c r="I138" s="4" t="n">
        <f aca="false">F138*VLOOKUP(IF(G138="ر.س","SAR",G138),المدخلات!$A$4:$B$9,2,FALSE())*IF(H138="نعم",المدخلات!$B$11,1)</f>
        <v>795.6275</v>
      </c>
      <c r="J138" s="4" t="n">
        <f aca="false">E138*I138</f>
        <v>795.6275</v>
      </c>
      <c r="K138" s="2" t="s">
        <v>30</v>
      </c>
      <c r="L138" s="2" t="s">
        <v>25</v>
      </c>
      <c r="M138" s="19" t="s">
        <v>307</v>
      </c>
      <c r="N138" s="2" t="s">
        <v>308</v>
      </c>
    </row>
    <row r="139" customFormat="false" ht="15" hidden="false" customHeight="false" outlineLevel="0" collapsed="false">
      <c r="A139" s="2" t="s">
        <v>63</v>
      </c>
      <c r="B139" s="2" t="n">
        <v>8</v>
      </c>
      <c r="C139" s="19" t="s">
        <v>309</v>
      </c>
      <c r="D139" s="2" t="s">
        <v>140</v>
      </c>
      <c r="E139" s="20" t="n">
        <v>2</v>
      </c>
      <c r="F139" s="9" t="n">
        <v>900</v>
      </c>
      <c r="G139" s="2" t="s">
        <v>130</v>
      </c>
      <c r="H139" s="2" t="s">
        <v>131</v>
      </c>
      <c r="I139" s="4" t="n">
        <f aca="false">F139*VLOOKUP(IF(G139="ر.س","SAR",G139),المدخلات!$A$4:$B$9,2,FALSE())*IF(H139="نعم",المدخلات!$B$11,1)</f>
        <v>900</v>
      </c>
      <c r="J139" s="4" t="n">
        <f aca="false">E139*I139</f>
        <v>1800</v>
      </c>
      <c r="K139" s="2" t="s">
        <v>30</v>
      </c>
      <c r="L139" s="2" t="s">
        <v>27</v>
      </c>
      <c r="M139" s="19" t="s">
        <v>150</v>
      </c>
      <c r="N139" s="2"/>
    </row>
    <row r="140" customFormat="false" ht="15" hidden="false" customHeight="false" outlineLevel="0" collapsed="false">
      <c r="A140" s="2" t="s">
        <v>63</v>
      </c>
      <c r="B140" s="2" t="n">
        <v>9</v>
      </c>
      <c r="C140" s="19" t="s">
        <v>310</v>
      </c>
      <c r="D140" s="2" t="s">
        <v>140</v>
      </c>
      <c r="E140" s="20" t="n">
        <v>1</v>
      </c>
      <c r="F140" s="9" t="n">
        <v>243.95</v>
      </c>
      <c r="G140" s="2" t="s">
        <v>89</v>
      </c>
      <c r="H140" s="2" t="s">
        <v>141</v>
      </c>
      <c r="I140" s="4" t="n">
        <f aca="false">F140*VLOOKUP(IF(G140="ر.س","SAR",G140),المدخلات!$A$4:$B$9,2,FALSE())*IF(H140="نعم",المدخلات!$B$11,1)</f>
        <v>1052.034375</v>
      </c>
      <c r="J140" s="4" t="n">
        <f aca="false">E140*I140</f>
        <v>1052.034375</v>
      </c>
      <c r="K140" s="2" t="s">
        <v>30</v>
      </c>
      <c r="L140" s="2" t="s">
        <v>25</v>
      </c>
      <c r="M140" s="19" t="s">
        <v>311</v>
      </c>
      <c r="N140" s="2" t="s">
        <v>312</v>
      </c>
    </row>
    <row r="141" customFormat="false" ht="15" hidden="false" customHeight="false" outlineLevel="0" collapsed="false">
      <c r="A141" s="2" t="s">
        <v>63</v>
      </c>
      <c r="B141" s="2" t="n">
        <v>10</v>
      </c>
      <c r="C141" s="19" t="s">
        <v>313</v>
      </c>
      <c r="D141" s="2" t="s">
        <v>117</v>
      </c>
      <c r="E141" s="20" t="n">
        <v>14</v>
      </c>
      <c r="F141" s="9" t="n">
        <v>110</v>
      </c>
      <c r="G141" s="2" t="s">
        <v>130</v>
      </c>
      <c r="H141" s="2" t="s">
        <v>131</v>
      </c>
      <c r="I141" s="4" t="n">
        <f aca="false">F141*VLOOKUP(IF(G141="ر.س","SAR",G141),المدخلات!$A$4:$B$9,2,FALSE())*IF(H141="نعم",المدخلات!$B$11,1)</f>
        <v>110</v>
      </c>
      <c r="J141" s="4" t="n">
        <f aca="false">E141*I141</f>
        <v>1540</v>
      </c>
      <c r="K141" s="2" t="s">
        <v>30</v>
      </c>
      <c r="L141" s="2" t="s">
        <v>27</v>
      </c>
      <c r="M141" s="19" t="s">
        <v>150</v>
      </c>
      <c r="N141" s="2"/>
    </row>
    <row r="142" customFormat="false" ht="15" hidden="false" customHeight="false" outlineLevel="0" collapsed="false">
      <c r="A142" s="2" t="s">
        <v>63</v>
      </c>
      <c r="B142" s="2" t="n">
        <v>11</v>
      </c>
      <c r="C142" s="19" t="s">
        <v>314</v>
      </c>
      <c r="D142" s="2" t="s">
        <v>144</v>
      </c>
      <c r="E142" s="20" t="n">
        <v>1</v>
      </c>
      <c r="F142" s="9" t="n">
        <v>450</v>
      </c>
      <c r="G142" s="2" t="s">
        <v>130</v>
      </c>
      <c r="H142" s="2" t="s">
        <v>131</v>
      </c>
      <c r="I142" s="4" t="n">
        <f aca="false">F142*VLOOKUP(IF(G142="ر.س","SAR",G142),المدخلات!$A$4:$B$9,2,FALSE())*IF(H142="نعم",المدخلات!$B$11,1)</f>
        <v>450</v>
      </c>
      <c r="J142" s="4" t="n">
        <f aca="false">E142*I142</f>
        <v>450</v>
      </c>
      <c r="K142" s="2" t="s">
        <v>30</v>
      </c>
      <c r="L142" s="2" t="s">
        <v>27</v>
      </c>
      <c r="M142" s="19" t="s">
        <v>150</v>
      </c>
      <c r="N142" s="2"/>
    </row>
    <row r="143" customFormat="false" ht="15" hidden="false" customHeight="false" outlineLevel="0" collapsed="false">
      <c r="A143" s="2" t="s">
        <v>63</v>
      </c>
      <c r="B143" s="2" t="n">
        <v>12</v>
      </c>
      <c r="C143" s="19" t="s">
        <v>315</v>
      </c>
      <c r="D143" s="2" t="s">
        <v>159</v>
      </c>
      <c r="E143" s="20" t="n">
        <v>1</v>
      </c>
      <c r="F143" s="9" t="n">
        <v>1500</v>
      </c>
      <c r="G143" s="2" t="s">
        <v>130</v>
      </c>
      <c r="H143" s="2" t="s">
        <v>131</v>
      </c>
      <c r="I143" s="4" t="n">
        <f aca="false">F143*VLOOKUP(IF(G143="ر.س","SAR",G143),المدخلات!$A$4:$B$9,2,FALSE())*IF(H143="نعم",المدخلات!$B$11,1)</f>
        <v>1500</v>
      </c>
      <c r="J143" s="4" t="n">
        <f aca="false">E143*I143</f>
        <v>1500</v>
      </c>
      <c r="K143" s="2" t="s">
        <v>32</v>
      </c>
      <c r="L143" s="2" t="s">
        <v>27</v>
      </c>
      <c r="M143" s="19" t="s">
        <v>150</v>
      </c>
      <c r="N143" s="2"/>
    </row>
    <row r="144" customFormat="false" ht="15" hidden="false" customHeight="false" outlineLevel="0" collapsed="false">
      <c r="A144" s="2" t="s">
        <v>63</v>
      </c>
      <c r="B144" s="2" t="n">
        <v>13</v>
      </c>
      <c r="C144" s="19" t="s">
        <v>316</v>
      </c>
      <c r="D144" s="2" t="s">
        <v>135</v>
      </c>
      <c r="E144" s="20" t="n">
        <v>8</v>
      </c>
      <c r="F144" s="21" t="n">
        <f aca="false">المدخلات!$B$13</f>
        <v>380</v>
      </c>
      <c r="G144" s="2" t="s">
        <v>130</v>
      </c>
      <c r="H144" s="2" t="s">
        <v>131</v>
      </c>
      <c r="I144" s="4" t="n">
        <f aca="false">F144*VLOOKUP(IF(G144="ر.س","SAR",G144),المدخلات!$A$4:$B$9,2,FALSE())*IF(H144="نعم",المدخلات!$B$11,1)</f>
        <v>380</v>
      </c>
      <c r="J144" s="4" t="n">
        <f aca="false">E144*I144</f>
        <v>3040</v>
      </c>
      <c r="K144" s="2" t="s">
        <v>31</v>
      </c>
      <c r="L144" s="2" t="s">
        <v>27</v>
      </c>
      <c r="M144" s="19" t="s">
        <v>182</v>
      </c>
      <c r="N144" s="2" t="s">
        <v>137</v>
      </c>
    </row>
    <row r="145" customFormat="false" ht="15" hidden="false" customHeight="false" outlineLevel="0" collapsed="false">
      <c r="A145" s="22"/>
      <c r="B145" s="22"/>
      <c r="C145" s="23" t="s">
        <v>317</v>
      </c>
      <c r="D145" s="22"/>
      <c r="E145" s="22"/>
      <c r="F145" s="22"/>
      <c r="G145" s="22"/>
      <c r="H145" s="22"/>
      <c r="I145" s="22"/>
      <c r="J145" s="24" t="n">
        <f aca="false">SUMIF($A$4:$A$144,"10",$J$4:$J$144)</f>
        <v>66334.994375</v>
      </c>
      <c r="K145" s="22"/>
      <c r="L145" s="22"/>
      <c r="M145" s="22"/>
      <c r="N145" s="2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5" hidden="false" customHeight="false" outlineLevel="0" collapsed="false">
      <c r="A147" s="17"/>
      <c r="B147" s="17"/>
      <c r="C147" s="18" t="s">
        <v>318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customFormat="false" ht="15" hidden="false" customHeight="false" outlineLevel="0" collapsed="false">
      <c r="A148" s="2" t="s">
        <v>65</v>
      </c>
      <c r="B148" s="2" t="n">
        <v>1</v>
      </c>
      <c r="C148" s="19" t="s">
        <v>319</v>
      </c>
      <c r="D148" s="2" t="s">
        <v>140</v>
      </c>
      <c r="E148" s="20" t="n">
        <v>8</v>
      </c>
      <c r="F148" s="9" t="n">
        <v>550</v>
      </c>
      <c r="G148" s="2" t="s">
        <v>130</v>
      </c>
      <c r="H148" s="2" t="s">
        <v>131</v>
      </c>
      <c r="I148" s="4" t="n">
        <f aca="false">F148*VLOOKUP(IF(G148="ر.س","SAR",G148),المدخلات!$A$4:$B$9,2,FALSE())*IF(H148="نعم",المدخلات!$B$11,1)</f>
        <v>550</v>
      </c>
      <c r="J148" s="4" t="n">
        <f aca="false">E148*I148</f>
        <v>4400</v>
      </c>
      <c r="K148" s="2" t="s">
        <v>30</v>
      </c>
      <c r="L148" s="2" t="s">
        <v>27</v>
      </c>
      <c r="M148" s="19" t="s">
        <v>174</v>
      </c>
      <c r="N148" s="2"/>
    </row>
    <row r="149" customFormat="false" ht="15" hidden="false" customHeight="false" outlineLevel="0" collapsed="false">
      <c r="A149" s="2" t="s">
        <v>65</v>
      </c>
      <c r="B149" s="2" t="n">
        <v>2</v>
      </c>
      <c r="C149" s="19" t="s">
        <v>320</v>
      </c>
      <c r="D149" s="2" t="s">
        <v>140</v>
      </c>
      <c r="E149" s="20" t="n">
        <v>2</v>
      </c>
      <c r="F149" s="9" t="n">
        <v>383.6</v>
      </c>
      <c r="G149" s="2" t="s">
        <v>91</v>
      </c>
      <c r="H149" s="2" t="s">
        <v>141</v>
      </c>
      <c r="I149" s="4" t="n">
        <f aca="false">F149*VLOOKUP(IF(G149="ر.س","SAR",G149),المدخلات!$A$4:$B$9,2,FALSE())*IF(H149="نعم",المدخلات!$B$11,1)</f>
        <v>1918.959</v>
      </c>
      <c r="J149" s="4" t="n">
        <f aca="false">E149*I149</f>
        <v>3837.918</v>
      </c>
      <c r="K149" s="2" t="s">
        <v>30</v>
      </c>
      <c r="L149" s="2" t="s">
        <v>25</v>
      </c>
      <c r="M149" s="19" t="s">
        <v>321</v>
      </c>
      <c r="N149" s="2" t="s">
        <v>322</v>
      </c>
    </row>
    <row r="150" customFormat="false" ht="15" hidden="false" customHeight="false" outlineLevel="0" collapsed="false">
      <c r="A150" s="2" t="s">
        <v>65</v>
      </c>
      <c r="B150" s="2" t="n">
        <v>3</v>
      </c>
      <c r="C150" s="19" t="s">
        <v>323</v>
      </c>
      <c r="D150" s="2" t="s">
        <v>140</v>
      </c>
      <c r="E150" s="20" t="n">
        <v>8</v>
      </c>
      <c r="F150" s="9" t="n">
        <v>32</v>
      </c>
      <c r="G150" s="2" t="s">
        <v>89</v>
      </c>
      <c r="H150" s="2" t="s">
        <v>141</v>
      </c>
      <c r="I150" s="4" t="n">
        <f aca="false">F150*VLOOKUP(IF(G150="ر.س","SAR",G150),المدخلات!$A$4:$B$9,2,FALSE())*IF(H150="نعم",المدخلات!$B$11,1)</f>
        <v>138</v>
      </c>
      <c r="J150" s="4" t="n">
        <f aca="false">E150*I150</f>
        <v>1104</v>
      </c>
      <c r="K150" s="2" t="s">
        <v>30</v>
      </c>
      <c r="L150" s="2" t="s">
        <v>25</v>
      </c>
      <c r="M150" s="19" t="s">
        <v>324</v>
      </c>
      <c r="N150" s="2" t="s">
        <v>325</v>
      </c>
    </row>
    <row r="151" customFormat="false" ht="15" hidden="false" customHeight="false" outlineLevel="0" collapsed="false">
      <c r="A151" s="2" t="s">
        <v>65</v>
      </c>
      <c r="B151" s="2" t="n">
        <v>4</v>
      </c>
      <c r="C151" s="19" t="s">
        <v>326</v>
      </c>
      <c r="D151" s="2" t="s">
        <v>140</v>
      </c>
      <c r="E151" s="20" t="n">
        <v>1</v>
      </c>
      <c r="F151" s="9" t="n">
        <v>250</v>
      </c>
      <c r="G151" s="2" t="s">
        <v>89</v>
      </c>
      <c r="H151" s="2" t="s">
        <v>141</v>
      </c>
      <c r="I151" s="4" t="n">
        <f aca="false">F151*VLOOKUP(IF(G151="ر.س","SAR",G151),المدخلات!$A$4:$B$9,2,FALSE())*IF(H151="نعم",المدخلات!$B$11,1)</f>
        <v>1078.125</v>
      </c>
      <c r="J151" s="4" t="n">
        <f aca="false">E151*I151</f>
        <v>1078.125</v>
      </c>
      <c r="K151" s="2" t="s">
        <v>30</v>
      </c>
      <c r="L151" s="2" t="s">
        <v>27</v>
      </c>
      <c r="M151" s="19" t="s">
        <v>145</v>
      </c>
      <c r="N151" s="2"/>
    </row>
    <row r="152" customFormat="false" ht="15" hidden="false" customHeight="false" outlineLevel="0" collapsed="false">
      <c r="A152" s="2" t="s">
        <v>65</v>
      </c>
      <c r="B152" s="2" t="n">
        <v>5</v>
      </c>
      <c r="C152" s="19" t="s">
        <v>327</v>
      </c>
      <c r="D152" s="2" t="s">
        <v>144</v>
      </c>
      <c r="E152" s="20" t="n">
        <v>1</v>
      </c>
      <c r="F152" s="9" t="n">
        <v>4500</v>
      </c>
      <c r="G152" s="2" t="s">
        <v>130</v>
      </c>
      <c r="H152" s="2" t="s">
        <v>131</v>
      </c>
      <c r="I152" s="4" t="n">
        <f aca="false">F152*VLOOKUP(IF(G152="ر.س","SAR",G152),المدخلات!$A$4:$B$9,2,FALSE())*IF(H152="نعم",المدخلات!$B$11,1)</f>
        <v>4500</v>
      </c>
      <c r="J152" s="4" t="n">
        <f aca="false">E152*I152</f>
        <v>4500</v>
      </c>
      <c r="K152" s="2" t="s">
        <v>30</v>
      </c>
      <c r="L152" s="2" t="s">
        <v>27</v>
      </c>
      <c r="M152" s="19" t="s">
        <v>150</v>
      </c>
      <c r="N152" s="2"/>
    </row>
    <row r="153" customFormat="false" ht="15" hidden="false" customHeight="false" outlineLevel="0" collapsed="false">
      <c r="A153" s="2" t="s">
        <v>65</v>
      </c>
      <c r="B153" s="2" t="n">
        <v>6</v>
      </c>
      <c r="C153" s="19" t="s">
        <v>328</v>
      </c>
      <c r="D153" s="2" t="s">
        <v>117</v>
      </c>
      <c r="E153" s="20" t="n">
        <v>40</v>
      </c>
      <c r="F153" s="9" t="n">
        <v>9</v>
      </c>
      <c r="G153" s="2" t="s">
        <v>130</v>
      </c>
      <c r="H153" s="2" t="s">
        <v>131</v>
      </c>
      <c r="I153" s="4" t="n">
        <f aca="false">F153*VLOOKUP(IF(G153="ر.س","SAR",G153),المدخلات!$A$4:$B$9,2,FALSE())*IF(H153="نعم",المدخلات!$B$11,1)</f>
        <v>9</v>
      </c>
      <c r="J153" s="4" t="n">
        <f aca="false">E153*I153</f>
        <v>360</v>
      </c>
      <c r="K153" s="2" t="s">
        <v>30</v>
      </c>
      <c r="L153" s="2" t="s">
        <v>27</v>
      </c>
      <c r="M153" s="19" t="s">
        <v>150</v>
      </c>
      <c r="N153" s="2"/>
    </row>
    <row r="154" customFormat="false" ht="15" hidden="false" customHeight="false" outlineLevel="0" collapsed="false">
      <c r="A154" s="2" t="s">
        <v>65</v>
      </c>
      <c r="B154" s="2" t="n">
        <v>7</v>
      </c>
      <c r="C154" s="19" t="s">
        <v>329</v>
      </c>
      <c r="D154" s="2" t="s">
        <v>144</v>
      </c>
      <c r="E154" s="20" t="n">
        <v>1</v>
      </c>
      <c r="F154" s="9" t="n">
        <v>1750</v>
      </c>
      <c r="G154" s="2" t="s">
        <v>130</v>
      </c>
      <c r="H154" s="2" t="s">
        <v>131</v>
      </c>
      <c r="I154" s="4" t="n">
        <f aca="false">F154*VLOOKUP(IF(G154="ر.س","SAR",G154),المدخلات!$A$4:$B$9,2,FALSE())*IF(H154="نعم",المدخلات!$B$11,1)</f>
        <v>1750</v>
      </c>
      <c r="J154" s="4" t="n">
        <f aca="false">E154*I154</f>
        <v>1750</v>
      </c>
      <c r="K154" s="2" t="s">
        <v>30</v>
      </c>
      <c r="L154" s="2" t="s">
        <v>27</v>
      </c>
      <c r="M154" s="19" t="s">
        <v>150</v>
      </c>
      <c r="N154" s="2"/>
    </row>
    <row r="155" customFormat="false" ht="15" hidden="false" customHeight="false" outlineLevel="0" collapsed="false">
      <c r="A155" s="2" t="s">
        <v>65</v>
      </c>
      <c r="B155" s="2" t="n">
        <v>8</v>
      </c>
      <c r="C155" s="19" t="s">
        <v>330</v>
      </c>
      <c r="D155" s="2" t="s">
        <v>144</v>
      </c>
      <c r="E155" s="20" t="n">
        <v>1</v>
      </c>
      <c r="F155" s="9" t="n">
        <v>1500</v>
      </c>
      <c r="G155" s="2" t="s">
        <v>130</v>
      </c>
      <c r="H155" s="2" t="s">
        <v>131</v>
      </c>
      <c r="I155" s="4" t="n">
        <f aca="false">F155*VLOOKUP(IF(G155="ر.س","SAR",G155),المدخلات!$A$4:$B$9,2,FALSE())*IF(H155="نعم",المدخلات!$B$11,1)</f>
        <v>1500</v>
      </c>
      <c r="J155" s="4" t="n">
        <f aca="false">E155*I155</f>
        <v>1500</v>
      </c>
      <c r="K155" s="2" t="s">
        <v>30</v>
      </c>
      <c r="L155" s="2" t="s">
        <v>27</v>
      </c>
      <c r="M155" s="19" t="s">
        <v>150</v>
      </c>
      <c r="N155" s="2"/>
    </row>
    <row r="156" customFormat="false" ht="15" hidden="false" customHeight="false" outlineLevel="0" collapsed="false">
      <c r="A156" s="2" t="s">
        <v>65</v>
      </c>
      <c r="B156" s="2" t="n">
        <v>9</v>
      </c>
      <c r="C156" s="19" t="s">
        <v>331</v>
      </c>
      <c r="D156" s="2" t="s">
        <v>135</v>
      </c>
      <c r="E156" s="20" t="n">
        <v>6</v>
      </c>
      <c r="F156" s="21" t="n">
        <f aca="false">المدخلات!$B$13</f>
        <v>380</v>
      </c>
      <c r="G156" s="2" t="s">
        <v>130</v>
      </c>
      <c r="H156" s="2" t="s">
        <v>131</v>
      </c>
      <c r="I156" s="4" t="n">
        <f aca="false">F156*VLOOKUP(IF(G156="ر.س","SAR",G156),المدخلات!$A$4:$B$9,2,FALSE())*IF(H156="نعم",المدخلات!$B$11,1)</f>
        <v>380</v>
      </c>
      <c r="J156" s="4" t="n">
        <f aca="false">E156*I156</f>
        <v>2280</v>
      </c>
      <c r="K156" s="2" t="s">
        <v>31</v>
      </c>
      <c r="L156" s="2" t="s">
        <v>27</v>
      </c>
      <c r="M156" s="19" t="s">
        <v>182</v>
      </c>
      <c r="N156" s="2" t="s">
        <v>137</v>
      </c>
    </row>
    <row r="157" customFormat="false" ht="15" hidden="false" customHeight="false" outlineLevel="0" collapsed="false">
      <c r="A157" s="22"/>
      <c r="B157" s="22"/>
      <c r="C157" s="23" t="s">
        <v>332</v>
      </c>
      <c r="D157" s="22"/>
      <c r="E157" s="22"/>
      <c r="F157" s="22"/>
      <c r="G157" s="22"/>
      <c r="H157" s="22"/>
      <c r="I157" s="22"/>
      <c r="J157" s="24" t="n">
        <f aca="false">SUMIF($A$4:$A$156,"11",$J$4:$J$156)</f>
        <v>20810.043</v>
      </c>
      <c r="K157" s="22"/>
      <c r="L157" s="22"/>
      <c r="M157" s="22"/>
      <c r="N157" s="2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5" hidden="false" customHeight="false" outlineLevel="0" collapsed="false">
      <c r="A159" s="17"/>
      <c r="B159" s="17"/>
      <c r="C159" s="18" t="s">
        <v>333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customFormat="false" ht="15" hidden="false" customHeight="false" outlineLevel="0" collapsed="false">
      <c r="A160" s="2" t="s">
        <v>67</v>
      </c>
      <c r="B160" s="2" t="n">
        <v>1</v>
      </c>
      <c r="C160" s="19" t="s">
        <v>334</v>
      </c>
      <c r="D160" s="2" t="s">
        <v>140</v>
      </c>
      <c r="E160" s="20" t="n">
        <v>1</v>
      </c>
      <c r="F160" s="9" t="n">
        <v>4587.33</v>
      </c>
      <c r="G160" s="2" t="s">
        <v>130</v>
      </c>
      <c r="H160" s="2" t="s">
        <v>131</v>
      </c>
      <c r="I160" s="4" t="n">
        <f aca="false">F160*VLOOKUP(IF(G160="ر.س","SAR",G160),المدخلات!$A$4:$B$9,2,FALSE())*IF(H160="نعم",المدخلات!$B$11,1)</f>
        <v>4587.33</v>
      </c>
      <c r="J160" s="4" t="n">
        <f aca="false">E160*I160</f>
        <v>4587.33</v>
      </c>
      <c r="K160" s="2" t="s">
        <v>30</v>
      </c>
      <c r="L160" s="2" t="s">
        <v>24</v>
      </c>
      <c r="M160" s="19" t="s">
        <v>335</v>
      </c>
      <c r="N160" s="2" t="s">
        <v>336</v>
      </c>
    </row>
    <row r="161" customFormat="false" ht="15" hidden="false" customHeight="false" outlineLevel="0" collapsed="false">
      <c r="A161" s="2" t="s">
        <v>67</v>
      </c>
      <c r="B161" s="2" t="n">
        <v>2</v>
      </c>
      <c r="C161" s="19" t="s">
        <v>337</v>
      </c>
      <c r="D161" s="2" t="s">
        <v>140</v>
      </c>
      <c r="E161" s="20" t="n">
        <v>1</v>
      </c>
      <c r="F161" s="9" t="n">
        <v>2600</v>
      </c>
      <c r="G161" s="2" t="s">
        <v>130</v>
      </c>
      <c r="H161" s="2" t="s">
        <v>131</v>
      </c>
      <c r="I161" s="4" t="n">
        <f aca="false">F161*VLOOKUP(IF(G161="ر.س","SAR",G161),المدخلات!$A$4:$B$9,2,FALSE())*IF(H161="نعم",المدخلات!$B$11,1)</f>
        <v>2600</v>
      </c>
      <c r="J161" s="4" t="n">
        <f aca="false">E161*I161</f>
        <v>2600</v>
      </c>
      <c r="K161" s="2" t="s">
        <v>30</v>
      </c>
      <c r="L161" s="2" t="s">
        <v>27</v>
      </c>
      <c r="M161" s="19" t="s">
        <v>150</v>
      </c>
      <c r="N161" s="2"/>
    </row>
    <row r="162" customFormat="false" ht="15" hidden="false" customHeight="false" outlineLevel="0" collapsed="false">
      <c r="A162" s="2" t="s">
        <v>67</v>
      </c>
      <c r="B162" s="2" t="n">
        <v>3</v>
      </c>
      <c r="C162" s="19" t="s">
        <v>338</v>
      </c>
      <c r="D162" s="2" t="s">
        <v>144</v>
      </c>
      <c r="E162" s="20" t="n">
        <v>1</v>
      </c>
      <c r="F162" s="9" t="n">
        <v>900</v>
      </c>
      <c r="G162" s="2" t="s">
        <v>130</v>
      </c>
      <c r="H162" s="2" t="s">
        <v>131</v>
      </c>
      <c r="I162" s="4" t="n">
        <f aca="false">F162*VLOOKUP(IF(G162="ر.س","SAR",G162),المدخلات!$A$4:$B$9,2,FALSE())*IF(H162="نعم",المدخلات!$B$11,1)</f>
        <v>900</v>
      </c>
      <c r="J162" s="4" t="n">
        <f aca="false">E162*I162</f>
        <v>900</v>
      </c>
      <c r="K162" s="2" t="s">
        <v>30</v>
      </c>
      <c r="L162" s="2" t="s">
        <v>27</v>
      </c>
      <c r="M162" s="19" t="s">
        <v>150</v>
      </c>
      <c r="N162" s="2"/>
    </row>
    <row r="163" customFormat="false" ht="15" hidden="false" customHeight="false" outlineLevel="0" collapsed="false">
      <c r="A163" s="22"/>
      <c r="B163" s="22"/>
      <c r="C163" s="23" t="s">
        <v>339</v>
      </c>
      <c r="D163" s="22"/>
      <c r="E163" s="22"/>
      <c r="F163" s="22"/>
      <c r="G163" s="22"/>
      <c r="H163" s="22"/>
      <c r="I163" s="22"/>
      <c r="J163" s="24" t="n">
        <f aca="false">SUMIF($A$4:$A$162,"12",$J$4:$J$162)</f>
        <v>8087.33</v>
      </c>
      <c r="K163" s="22"/>
      <c r="L163" s="22"/>
      <c r="M163" s="22"/>
      <c r="N163" s="2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" hidden="false" customHeight="false" outlineLevel="0" collapsed="false">
      <c r="A165" s="17"/>
      <c r="B165" s="17"/>
      <c r="C165" s="18" t="s">
        <v>340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customFormat="false" ht="15" hidden="false" customHeight="false" outlineLevel="0" collapsed="false">
      <c r="A166" s="2" t="s">
        <v>69</v>
      </c>
      <c r="B166" s="2" t="n">
        <v>1</v>
      </c>
      <c r="C166" s="19" t="s">
        <v>341</v>
      </c>
      <c r="D166" s="2" t="s">
        <v>140</v>
      </c>
      <c r="E166" s="20" t="n">
        <v>1</v>
      </c>
      <c r="F166" s="9" t="n">
        <v>2800</v>
      </c>
      <c r="G166" s="2" t="s">
        <v>130</v>
      </c>
      <c r="H166" s="2" t="s">
        <v>131</v>
      </c>
      <c r="I166" s="4" t="n">
        <f aca="false">F166*VLOOKUP(IF(G166="ر.س","SAR",G166),المدخلات!$A$4:$B$9,2,FALSE())*IF(H166="نعم",المدخلات!$B$11,1)</f>
        <v>2800</v>
      </c>
      <c r="J166" s="4" t="n">
        <f aca="false">E166*I166</f>
        <v>2800</v>
      </c>
      <c r="K166" s="2" t="s">
        <v>30</v>
      </c>
      <c r="L166" s="2" t="s">
        <v>27</v>
      </c>
      <c r="M166" s="19" t="s">
        <v>150</v>
      </c>
      <c r="N166" s="2"/>
    </row>
    <row r="167" customFormat="false" ht="15" hidden="false" customHeight="false" outlineLevel="0" collapsed="false">
      <c r="A167" s="2" t="s">
        <v>69</v>
      </c>
      <c r="B167" s="2" t="n">
        <v>2</v>
      </c>
      <c r="C167" s="19" t="s">
        <v>342</v>
      </c>
      <c r="D167" s="2" t="s">
        <v>140</v>
      </c>
      <c r="E167" s="20" t="n">
        <v>1</v>
      </c>
      <c r="F167" s="9" t="n">
        <v>1800</v>
      </c>
      <c r="G167" s="2" t="s">
        <v>130</v>
      </c>
      <c r="H167" s="2" t="s">
        <v>131</v>
      </c>
      <c r="I167" s="4" t="n">
        <f aca="false">F167*VLOOKUP(IF(G167="ر.س","SAR",G167),المدخلات!$A$4:$B$9,2,FALSE())*IF(H167="نعم",المدخلات!$B$11,1)</f>
        <v>1800</v>
      </c>
      <c r="J167" s="4" t="n">
        <f aca="false">E167*I167</f>
        <v>1800</v>
      </c>
      <c r="K167" s="2" t="s">
        <v>30</v>
      </c>
      <c r="L167" s="2" t="s">
        <v>27</v>
      </c>
      <c r="M167" s="19" t="s">
        <v>150</v>
      </c>
      <c r="N167" s="2"/>
    </row>
    <row r="168" customFormat="false" ht="15" hidden="false" customHeight="false" outlineLevel="0" collapsed="false">
      <c r="A168" s="2" t="s">
        <v>69</v>
      </c>
      <c r="B168" s="2" t="n">
        <v>3</v>
      </c>
      <c r="C168" s="19" t="s">
        <v>343</v>
      </c>
      <c r="D168" s="2" t="s">
        <v>140</v>
      </c>
      <c r="E168" s="20" t="n">
        <v>1</v>
      </c>
      <c r="F168" s="9" t="n">
        <v>834.76</v>
      </c>
      <c r="G168" s="2" t="s">
        <v>89</v>
      </c>
      <c r="H168" s="2" t="s">
        <v>141</v>
      </c>
      <c r="I168" s="4" t="n">
        <f aca="false">F168*VLOOKUP(IF(G168="ر.س","SAR",G168),المدخلات!$A$4:$B$9,2,FALSE())*IF(H168="نعم",المدخلات!$B$11,1)</f>
        <v>3599.9025</v>
      </c>
      <c r="J168" s="4" t="n">
        <f aca="false">E168*I168</f>
        <v>3599.9025</v>
      </c>
      <c r="K168" s="2" t="s">
        <v>30</v>
      </c>
      <c r="L168" s="2" t="s">
        <v>25</v>
      </c>
      <c r="M168" s="19" t="s">
        <v>344</v>
      </c>
      <c r="N168" s="2" t="s">
        <v>345</v>
      </c>
    </row>
    <row r="169" customFormat="false" ht="15" hidden="false" customHeight="false" outlineLevel="0" collapsed="false">
      <c r="A169" s="2" t="s">
        <v>69</v>
      </c>
      <c r="B169" s="2" t="n">
        <v>4</v>
      </c>
      <c r="C169" s="19" t="s">
        <v>346</v>
      </c>
      <c r="D169" s="2" t="s">
        <v>140</v>
      </c>
      <c r="E169" s="20" t="n">
        <v>1</v>
      </c>
      <c r="F169" s="9" t="n">
        <v>1151</v>
      </c>
      <c r="G169" s="2" t="s">
        <v>89</v>
      </c>
      <c r="H169" s="2" t="s">
        <v>141</v>
      </c>
      <c r="I169" s="4" t="n">
        <f aca="false">F169*VLOOKUP(IF(G169="ر.س","SAR",G169),المدخلات!$A$4:$B$9,2,FALSE())*IF(H169="نعم",المدخلات!$B$11,1)</f>
        <v>4963.6875</v>
      </c>
      <c r="J169" s="4" t="n">
        <f aca="false">E169*I169</f>
        <v>4963.6875</v>
      </c>
      <c r="K169" s="2" t="s">
        <v>30</v>
      </c>
      <c r="L169" s="2" t="s">
        <v>25</v>
      </c>
      <c r="M169" s="19" t="s">
        <v>347</v>
      </c>
      <c r="N169" s="2" t="s">
        <v>348</v>
      </c>
    </row>
    <row r="170" customFormat="false" ht="15" hidden="false" customHeight="false" outlineLevel="0" collapsed="false">
      <c r="A170" s="2" t="s">
        <v>69</v>
      </c>
      <c r="B170" s="2" t="n">
        <v>5</v>
      </c>
      <c r="C170" s="19" t="s">
        <v>349</v>
      </c>
      <c r="D170" s="2" t="s">
        <v>140</v>
      </c>
      <c r="E170" s="20" t="n">
        <v>2</v>
      </c>
      <c r="F170" s="9" t="n">
        <v>577.78</v>
      </c>
      <c r="G170" s="2" t="s">
        <v>89</v>
      </c>
      <c r="H170" s="2" t="s">
        <v>141</v>
      </c>
      <c r="I170" s="4" t="n">
        <f aca="false">F170*VLOOKUP(IF(G170="ر.س","SAR",G170),المدخلات!$A$4:$B$9,2,FALSE())*IF(H170="نعم",المدخلات!$B$11,1)</f>
        <v>2491.67625</v>
      </c>
      <c r="J170" s="4" t="n">
        <f aca="false">E170*I170</f>
        <v>4983.3525</v>
      </c>
      <c r="K170" s="2" t="s">
        <v>30</v>
      </c>
      <c r="L170" s="2" t="s">
        <v>25</v>
      </c>
      <c r="M170" s="19" t="s">
        <v>350</v>
      </c>
      <c r="N170" s="2" t="s">
        <v>351</v>
      </c>
    </row>
    <row r="171" customFormat="false" ht="15" hidden="false" customHeight="false" outlineLevel="0" collapsed="false">
      <c r="A171" s="2" t="s">
        <v>69</v>
      </c>
      <c r="B171" s="2" t="n">
        <v>6</v>
      </c>
      <c r="C171" s="19" t="s">
        <v>352</v>
      </c>
      <c r="D171" s="2" t="s">
        <v>140</v>
      </c>
      <c r="E171" s="20" t="n">
        <v>2</v>
      </c>
      <c r="F171" s="9" t="n">
        <v>180</v>
      </c>
      <c r="G171" s="2" t="s">
        <v>89</v>
      </c>
      <c r="H171" s="2" t="s">
        <v>141</v>
      </c>
      <c r="I171" s="4" t="n">
        <f aca="false">F171*VLOOKUP(IF(G171="ر.س","SAR",G171),المدخلات!$A$4:$B$9,2,FALSE())*IF(H171="نعم",المدخلات!$B$11,1)</f>
        <v>776.25</v>
      </c>
      <c r="J171" s="4" t="n">
        <f aca="false">E171*I171</f>
        <v>1552.5</v>
      </c>
      <c r="K171" s="2" t="s">
        <v>30</v>
      </c>
      <c r="L171" s="2" t="s">
        <v>27</v>
      </c>
      <c r="M171" s="19" t="s">
        <v>150</v>
      </c>
      <c r="N171" s="2"/>
    </row>
    <row r="172" customFormat="false" ht="15" hidden="false" customHeight="false" outlineLevel="0" collapsed="false">
      <c r="A172" s="2" t="s">
        <v>69</v>
      </c>
      <c r="B172" s="2" t="n">
        <v>7</v>
      </c>
      <c r="C172" s="19" t="s">
        <v>353</v>
      </c>
      <c r="D172" s="2" t="s">
        <v>140</v>
      </c>
      <c r="E172" s="20" t="n">
        <v>1</v>
      </c>
      <c r="F172" s="9" t="n">
        <v>1871</v>
      </c>
      <c r="G172" s="2" t="s">
        <v>130</v>
      </c>
      <c r="H172" s="2" t="s">
        <v>131</v>
      </c>
      <c r="I172" s="4" t="n">
        <f aca="false">F172*VLOOKUP(IF(G172="ر.س","SAR",G172),المدخلات!$A$4:$B$9,2,FALSE())*IF(H172="نعم",المدخلات!$B$11,1)</f>
        <v>1871</v>
      </c>
      <c r="J172" s="4" t="n">
        <f aca="false">E172*I172</f>
        <v>1871</v>
      </c>
      <c r="K172" s="2" t="s">
        <v>30</v>
      </c>
      <c r="L172" s="2" t="s">
        <v>26</v>
      </c>
      <c r="M172" s="19" t="s">
        <v>354</v>
      </c>
      <c r="N172" s="2" t="s">
        <v>355</v>
      </c>
    </row>
    <row r="173" customFormat="false" ht="15" hidden="false" customHeight="false" outlineLevel="0" collapsed="false">
      <c r="A173" s="2" t="s">
        <v>69</v>
      </c>
      <c r="B173" s="2" t="n">
        <v>8</v>
      </c>
      <c r="C173" s="19" t="s">
        <v>356</v>
      </c>
      <c r="D173" s="2" t="s">
        <v>140</v>
      </c>
      <c r="E173" s="20" t="n">
        <v>1</v>
      </c>
      <c r="F173" s="9" t="n">
        <v>1505.37</v>
      </c>
      <c r="G173" s="2" t="s">
        <v>89</v>
      </c>
      <c r="H173" s="2" t="s">
        <v>141</v>
      </c>
      <c r="I173" s="4" t="n">
        <f aca="false">F173*VLOOKUP(IF(G173="ر.س","SAR",G173),المدخلات!$A$4:$B$9,2,FALSE())*IF(H173="نعم",المدخلات!$B$11,1)</f>
        <v>6491.908125</v>
      </c>
      <c r="J173" s="4" t="n">
        <f aca="false">E173*I173</f>
        <v>6491.908125</v>
      </c>
      <c r="K173" s="2" t="s">
        <v>30</v>
      </c>
      <c r="L173" s="2" t="s">
        <v>25</v>
      </c>
      <c r="M173" s="19" t="s">
        <v>357</v>
      </c>
      <c r="N173" s="2" t="s">
        <v>358</v>
      </c>
    </row>
    <row r="174" customFormat="false" ht="15" hidden="false" customHeight="false" outlineLevel="0" collapsed="false">
      <c r="A174" s="2" t="s">
        <v>69</v>
      </c>
      <c r="B174" s="2" t="n">
        <v>9</v>
      </c>
      <c r="C174" s="19" t="s">
        <v>359</v>
      </c>
      <c r="D174" s="2" t="s">
        <v>140</v>
      </c>
      <c r="E174" s="20" t="n">
        <v>1</v>
      </c>
      <c r="F174" s="9" t="n">
        <v>479</v>
      </c>
      <c r="G174" s="2" t="s">
        <v>130</v>
      </c>
      <c r="H174" s="2" t="s">
        <v>131</v>
      </c>
      <c r="I174" s="4" t="n">
        <f aca="false">F174*VLOOKUP(IF(G174="ر.س","SAR",G174),المدخلات!$A$4:$B$9,2,FALSE())*IF(H174="نعم",المدخلات!$B$11,1)</f>
        <v>479</v>
      </c>
      <c r="J174" s="4" t="n">
        <f aca="false">E174*I174</f>
        <v>479</v>
      </c>
      <c r="K174" s="2" t="s">
        <v>30</v>
      </c>
      <c r="L174" s="2" t="s">
        <v>24</v>
      </c>
      <c r="M174" s="19" t="s">
        <v>360</v>
      </c>
      <c r="N174" s="2" t="s">
        <v>361</v>
      </c>
    </row>
    <row r="175" customFormat="false" ht="15" hidden="false" customHeight="false" outlineLevel="0" collapsed="false">
      <c r="A175" s="2" t="s">
        <v>69</v>
      </c>
      <c r="B175" s="2" t="n">
        <v>10</v>
      </c>
      <c r="C175" s="19" t="s">
        <v>362</v>
      </c>
      <c r="D175" s="2" t="s">
        <v>140</v>
      </c>
      <c r="E175" s="20" t="n">
        <v>2</v>
      </c>
      <c r="F175" s="9" t="n">
        <v>520</v>
      </c>
      <c r="G175" s="2" t="s">
        <v>130</v>
      </c>
      <c r="H175" s="2" t="s">
        <v>131</v>
      </c>
      <c r="I175" s="4" t="n">
        <f aca="false">F175*VLOOKUP(IF(G175="ر.س","SAR",G175),المدخلات!$A$4:$B$9,2,FALSE())*IF(H175="نعم",المدخلات!$B$11,1)</f>
        <v>520</v>
      </c>
      <c r="J175" s="4" t="n">
        <f aca="false">E175*I175</f>
        <v>1040</v>
      </c>
      <c r="K175" s="2" t="s">
        <v>30</v>
      </c>
      <c r="L175" s="2" t="s">
        <v>27</v>
      </c>
      <c r="M175" s="19" t="s">
        <v>150</v>
      </c>
      <c r="N175" s="2"/>
    </row>
    <row r="176" customFormat="false" ht="15" hidden="false" customHeight="false" outlineLevel="0" collapsed="false">
      <c r="A176" s="2" t="s">
        <v>69</v>
      </c>
      <c r="B176" s="2" t="n">
        <v>11</v>
      </c>
      <c r="C176" s="19" t="s">
        <v>363</v>
      </c>
      <c r="D176" s="2" t="s">
        <v>140</v>
      </c>
      <c r="E176" s="20" t="n">
        <v>4</v>
      </c>
      <c r="F176" s="9" t="n">
        <v>1400</v>
      </c>
      <c r="G176" s="2" t="s">
        <v>130</v>
      </c>
      <c r="H176" s="2" t="s">
        <v>131</v>
      </c>
      <c r="I176" s="4" t="n">
        <f aca="false">F176*VLOOKUP(IF(G176="ر.س","SAR",G176),المدخلات!$A$4:$B$9,2,FALSE())*IF(H176="نعم",المدخلات!$B$11,1)</f>
        <v>1400</v>
      </c>
      <c r="J176" s="4" t="n">
        <f aca="false">E176*I176</f>
        <v>5600</v>
      </c>
      <c r="K176" s="2" t="s">
        <v>30</v>
      </c>
      <c r="L176" s="2" t="s">
        <v>27</v>
      </c>
      <c r="M176" s="19" t="s">
        <v>150</v>
      </c>
      <c r="N176" s="2"/>
    </row>
    <row r="177" customFormat="false" ht="15" hidden="false" customHeight="false" outlineLevel="0" collapsed="false">
      <c r="A177" s="2" t="s">
        <v>69</v>
      </c>
      <c r="B177" s="2" t="n">
        <v>12</v>
      </c>
      <c r="C177" s="19" t="s">
        <v>364</v>
      </c>
      <c r="D177" s="2" t="s">
        <v>140</v>
      </c>
      <c r="E177" s="20" t="n">
        <v>4</v>
      </c>
      <c r="F177" s="9" t="n">
        <v>900</v>
      </c>
      <c r="G177" s="2" t="s">
        <v>130</v>
      </c>
      <c r="H177" s="2" t="s">
        <v>131</v>
      </c>
      <c r="I177" s="4" t="n">
        <f aca="false">F177*VLOOKUP(IF(G177="ر.س","SAR",G177),المدخلات!$A$4:$B$9,2,FALSE())*IF(H177="نعم",المدخلات!$B$11,1)</f>
        <v>900</v>
      </c>
      <c r="J177" s="4" t="n">
        <f aca="false">E177*I177</f>
        <v>3600</v>
      </c>
      <c r="K177" s="2" t="s">
        <v>30</v>
      </c>
      <c r="L177" s="2" t="s">
        <v>27</v>
      </c>
      <c r="M177" s="19" t="s">
        <v>150</v>
      </c>
      <c r="N177" s="2"/>
    </row>
    <row r="178" customFormat="false" ht="15" hidden="false" customHeight="false" outlineLevel="0" collapsed="false">
      <c r="A178" s="2" t="s">
        <v>69</v>
      </c>
      <c r="B178" s="2" t="n">
        <v>13</v>
      </c>
      <c r="C178" s="19" t="s">
        <v>365</v>
      </c>
      <c r="D178" s="2" t="s">
        <v>140</v>
      </c>
      <c r="E178" s="20" t="n">
        <v>1</v>
      </c>
      <c r="F178" s="9" t="n">
        <v>849</v>
      </c>
      <c r="G178" s="2" t="s">
        <v>89</v>
      </c>
      <c r="H178" s="2" t="s">
        <v>141</v>
      </c>
      <c r="I178" s="4" t="n">
        <f aca="false">F178*VLOOKUP(IF(G178="ر.س","SAR",G178),المدخلات!$A$4:$B$9,2,FALSE())*IF(H178="نعم",المدخلات!$B$11,1)</f>
        <v>3661.3125</v>
      </c>
      <c r="J178" s="4" t="n">
        <f aca="false">E178*I178</f>
        <v>3661.3125</v>
      </c>
      <c r="K178" s="2" t="s">
        <v>30</v>
      </c>
      <c r="L178" s="2" t="s">
        <v>25</v>
      </c>
      <c r="M178" s="19" t="s">
        <v>366</v>
      </c>
      <c r="N178" s="2" t="s">
        <v>367</v>
      </c>
    </row>
    <row r="179" customFormat="false" ht="15" hidden="false" customHeight="false" outlineLevel="0" collapsed="false">
      <c r="A179" s="2" t="s">
        <v>69</v>
      </c>
      <c r="B179" s="2" t="n">
        <v>14</v>
      </c>
      <c r="C179" s="19" t="s">
        <v>368</v>
      </c>
      <c r="D179" s="2" t="s">
        <v>140</v>
      </c>
      <c r="E179" s="20" t="n">
        <v>4</v>
      </c>
      <c r="F179" s="9" t="n">
        <v>273.6</v>
      </c>
      <c r="G179" s="2" t="s">
        <v>94</v>
      </c>
      <c r="H179" s="2" t="s">
        <v>141</v>
      </c>
      <c r="I179" s="4" t="n">
        <f aca="false">F179*VLOOKUP(IF(G179="ر.س","SAR",G179),المدخلات!$A$4:$B$9,2,FALSE())*IF(H179="نعم",المدخلات!$B$11,1)</f>
        <v>321.279782164738</v>
      </c>
      <c r="J179" s="4" t="n">
        <f aca="false">E179*I179</f>
        <v>1285.11912865895</v>
      </c>
      <c r="K179" s="2" t="s">
        <v>30</v>
      </c>
      <c r="L179" s="2" t="s">
        <v>25</v>
      </c>
      <c r="M179" s="19" t="s">
        <v>369</v>
      </c>
      <c r="N179" s="2" t="s">
        <v>370</v>
      </c>
    </row>
    <row r="180" customFormat="false" ht="15" hidden="false" customHeight="false" outlineLevel="0" collapsed="false">
      <c r="A180" s="2" t="s">
        <v>69</v>
      </c>
      <c r="B180" s="2" t="n">
        <v>15</v>
      </c>
      <c r="C180" s="19" t="s">
        <v>371</v>
      </c>
      <c r="D180" s="2" t="s">
        <v>144</v>
      </c>
      <c r="E180" s="20" t="n">
        <v>4</v>
      </c>
      <c r="F180" s="9" t="n">
        <v>570</v>
      </c>
      <c r="G180" s="2" t="s">
        <v>130</v>
      </c>
      <c r="H180" s="2" t="s">
        <v>131</v>
      </c>
      <c r="I180" s="4" t="n">
        <f aca="false">F180*VLOOKUP(IF(G180="ر.س","SAR",G180),المدخلات!$A$4:$B$9,2,FALSE())*IF(H180="نعم",المدخلات!$B$11,1)</f>
        <v>570</v>
      </c>
      <c r="J180" s="4" t="n">
        <f aca="false">E180*I180</f>
        <v>2280</v>
      </c>
      <c r="K180" s="2" t="s">
        <v>30</v>
      </c>
      <c r="L180" s="2" t="s">
        <v>27</v>
      </c>
      <c r="M180" s="19" t="s">
        <v>150</v>
      </c>
      <c r="N180" s="2"/>
    </row>
    <row r="181" customFormat="false" ht="15" hidden="false" customHeight="false" outlineLevel="0" collapsed="false">
      <c r="A181" s="2" t="s">
        <v>69</v>
      </c>
      <c r="B181" s="2" t="n">
        <v>16</v>
      </c>
      <c r="C181" s="19" t="s">
        <v>372</v>
      </c>
      <c r="D181" s="2" t="s">
        <v>144</v>
      </c>
      <c r="E181" s="20" t="n">
        <v>1</v>
      </c>
      <c r="F181" s="9" t="n">
        <v>3200</v>
      </c>
      <c r="G181" s="2" t="s">
        <v>130</v>
      </c>
      <c r="H181" s="2" t="s">
        <v>131</v>
      </c>
      <c r="I181" s="4" t="n">
        <f aca="false">F181*VLOOKUP(IF(G181="ر.س","SAR",G181),المدخلات!$A$4:$B$9,2,FALSE())*IF(H181="نعم",المدخلات!$B$11,1)</f>
        <v>3200</v>
      </c>
      <c r="J181" s="4" t="n">
        <f aca="false">E181*I181</f>
        <v>3200</v>
      </c>
      <c r="K181" s="2" t="s">
        <v>30</v>
      </c>
      <c r="L181" s="2" t="s">
        <v>27</v>
      </c>
      <c r="M181" s="19" t="s">
        <v>150</v>
      </c>
      <c r="N181" s="2"/>
    </row>
    <row r="182" customFormat="false" ht="15" hidden="false" customHeight="false" outlineLevel="0" collapsed="false">
      <c r="A182" s="2" t="s">
        <v>69</v>
      </c>
      <c r="B182" s="2" t="n">
        <v>17</v>
      </c>
      <c r="C182" s="19" t="s">
        <v>373</v>
      </c>
      <c r="D182" s="2" t="s">
        <v>140</v>
      </c>
      <c r="E182" s="20" t="n">
        <v>1</v>
      </c>
      <c r="F182" s="9" t="n">
        <v>1500</v>
      </c>
      <c r="G182" s="2" t="s">
        <v>130</v>
      </c>
      <c r="H182" s="2" t="s">
        <v>131</v>
      </c>
      <c r="I182" s="4" t="n">
        <f aca="false">F182*VLOOKUP(IF(G182="ر.س","SAR",G182),المدخلات!$A$4:$B$9,2,FALSE())*IF(H182="نعم",المدخلات!$B$11,1)</f>
        <v>1500</v>
      </c>
      <c r="J182" s="4" t="n">
        <f aca="false">E182*I182</f>
        <v>1500</v>
      </c>
      <c r="K182" s="2" t="s">
        <v>30</v>
      </c>
      <c r="L182" s="2" t="s">
        <v>27</v>
      </c>
      <c r="M182" s="19" t="s">
        <v>150</v>
      </c>
      <c r="N182" s="2"/>
    </row>
    <row r="183" customFormat="false" ht="15" hidden="false" customHeight="false" outlineLevel="0" collapsed="false">
      <c r="A183" s="2" t="s">
        <v>69</v>
      </c>
      <c r="B183" s="2" t="n">
        <v>18</v>
      </c>
      <c r="C183" s="19" t="s">
        <v>374</v>
      </c>
      <c r="D183" s="2" t="s">
        <v>144</v>
      </c>
      <c r="E183" s="20" t="n">
        <v>1</v>
      </c>
      <c r="F183" s="9" t="n">
        <v>2500</v>
      </c>
      <c r="G183" s="2" t="s">
        <v>130</v>
      </c>
      <c r="H183" s="2" t="s">
        <v>131</v>
      </c>
      <c r="I183" s="4" t="n">
        <f aca="false">F183*VLOOKUP(IF(G183="ر.س","SAR",G183),المدخلات!$A$4:$B$9,2,FALSE())*IF(H183="نعم",المدخلات!$B$11,1)</f>
        <v>2500</v>
      </c>
      <c r="J183" s="4" t="n">
        <f aca="false">E183*I183</f>
        <v>2500</v>
      </c>
      <c r="K183" s="2" t="s">
        <v>30</v>
      </c>
      <c r="L183" s="2" t="s">
        <v>27</v>
      </c>
      <c r="M183" s="19" t="s">
        <v>150</v>
      </c>
      <c r="N183" s="2"/>
    </row>
    <row r="184" customFormat="false" ht="15" hidden="false" customHeight="false" outlineLevel="0" collapsed="false">
      <c r="A184" s="2" t="s">
        <v>69</v>
      </c>
      <c r="B184" s="2" t="n">
        <v>19</v>
      </c>
      <c r="C184" s="19" t="s">
        <v>375</v>
      </c>
      <c r="D184" s="2" t="s">
        <v>117</v>
      </c>
      <c r="E184" s="20" t="n">
        <v>150</v>
      </c>
      <c r="F184" s="9" t="n">
        <v>6</v>
      </c>
      <c r="G184" s="2" t="s">
        <v>130</v>
      </c>
      <c r="H184" s="2" t="s">
        <v>131</v>
      </c>
      <c r="I184" s="4" t="n">
        <f aca="false">F184*VLOOKUP(IF(G184="ر.س","SAR",G184),المدخلات!$A$4:$B$9,2,FALSE())*IF(H184="نعم",المدخلات!$B$11,1)</f>
        <v>6</v>
      </c>
      <c r="J184" s="4" t="n">
        <f aca="false">E184*I184</f>
        <v>900</v>
      </c>
      <c r="K184" s="2" t="s">
        <v>30</v>
      </c>
      <c r="L184" s="2" t="s">
        <v>27</v>
      </c>
      <c r="M184" s="19" t="s">
        <v>150</v>
      </c>
      <c r="N184" s="2"/>
    </row>
    <row r="185" customFormat="false" ht="15" hidden="false" customHeight="false" outlineLevel="0" collapsed="false">
      <c r="A185" s="2" t="s">
        <v>69</v>
      </c>
      <c r="B185" s="2" t="n">
        <v>20</v>
      </c>
      <c r="C185" s="19" t="s">
        <v>376</v>
      </c>
      <c r="D185" s="2" t="s">
        <v>377</v>
      </c>
      <c r="E185" s="20" t="n">
        <v>20</v>
      </c>
      <c r="F185" s="9" t="n">
        <v>60</v>
      </c>
      <c r="G185" s="2" t="s">
        <v>130</v>
      </c>
      <c r="H185" s="2" t="s">
        <v>131</v>
      </c>
      <c r="I185" s="4" t="n">
        <f aca="false">F185*VLOOKUP(IF(G185="ر.س","SAR",G185),المدخلات!$A$4:$B$9,2,FALSE())*IF(H185="نعم",المدخلات!$B$11,1)</f>
        <v>60</v>
      </c>
      <c r="J185" s="4" t="n">
        <f aca="false">E185*I185</f>
        <v>1200</v>
      </c>
      <c r="K185" s="2" t="s">
        <v>30</v>
      </c>
      <c r="L185" s="2" t="s">
        <v>27</v>
      </c>
      <c r="M185" s="19" t="s">
        <v>150</v>
      </c>
      <c r="N185" s="2"/>
    </row>
    <row r="186" customFormat="false" ht="15" hidden="false" customHeight="false" outlineLevel="0" collapsed="false">
      <c r="A186" s="2" t="s">
        <v>69</v>
      </c>
      <c r="B186" s="2" t="n">
        <v>21</v>
      </c>
      <c r="C186" s="19" t="s">
        <v>378</v>
      </c>
      <c r="D186" s="2" t="s">
        <v>144</v>
      </c>
      <c r="E186" s="20" t="n">
        <v>1</v>
      </c>
      <c r="F186" s="9" t="n">
        <v>2500</v>
      </c>
      <c r="G186" s="2" t="s">
        <v>130</v>
      </c>
      <c r="H186" s="2" t="s">
        <v>131</v>
      </c>
      <c r="I186" s="4" t="n">
        <f aca="false">F186*VLOOKUP(IF(G186="ر.س","SAR",G186),المدخلات!$A$4:$B$9,2,FALSE())*IF(H186="نعم",المدخلات!$B$11,1)</f>
        <v>2500</v>
      </c>
      <c r="J186" s="4" t="n">
        <f aca="false">E186*I186</f>
        <v>2500</v>
      </c>
      <c r="K186" s="2" t="s">
        <v>30</v>
      </c>
      <c r="L186" s="2" t="s">
        <v>27</v>
      </c>
      <c r="M186" s="19" t="s">
        <v>150</v>
      </c>
      <c r="N186" s="2"/>
    </row>
    <row r="187" customFormat="false" ht="15" hidden="false" customHeight="false" outlineLevel="0" collapsed="false">
      <c r="A187" s="2" t="s">
        <v>69</v>
      </c>
      <c r="B187" s="2" t="n">
        <v>22</v>
      </c>
      <c r="C187" s="19" t="s">
        <v>379</v>
      </c>
      <c r="D187" s="2" t="s">
        <v>135</v>
      </c>
      <c r="E187" s="20" t="n">
        <v>16</v>
      </c>
      <c r="F187" s="21" t="n">
        <f aca="false">المدخلات!$B$13</f>
        <v>380</v>
      </c>
      <c r="G187" s="2" t="s">
        <v>130</v>
      </c>
      <c r="H187" s="2" t="s">
        <v>131</v>
      </c>
      <c r="I187" s="4" t="n">
        <f aca="false">F187*VLOOKUP(IF(G187="ر.س","SAR",G187),المدخلات!$A$4:$B$9,2,FALSE())*IF(H187="نعم",المدخلات!$B$11,1)</f>
        <v>380</v>
      </c>
      <c r="J187" s="4" t="n">
        <f aca="false">E187*I187</f>
        <v>6080</v>
      </c>
      <c r="K187" s="2" t="s">
        <v>31</v>
      </c>
      <c r="L187" s="2" t="s">
        <v>27</v>
      </c>
      <c r="M187" s="19" t="s">
        <v>182</v>
      </c>
      <c r="N187" s="2" t="s">
        <v>137</v>
      </c>
    </row>
    <row r="188" customFormat="false" ht="15" hidden="false" customHeight="false" outlineLevel="0" collapsed="false">
      <c r="A188" s="2" t="s">
        <v>69</v>
      </c>
      <c r="B188" s="2" t="n">
        <v>23</v>
      </c>
      <c r="C188" s="19" t="s">
        <v>380</v>
      </c>
      <c r="D188" s="2" t="s">
        <v>159</v>
      </c>
      <c r="E188" s="20" t="n">
        <v>1</v>
      </c>
      <c r="F188" s="9" t="n">
        <v>5000</v>
      </c>
      <c r="G188" s="2" t="s">
        <v>130</v>
      </c>
      <c r="H188" s="2" t="s">
        <v>131</v>
      </c>
      <c r="I188" s="4" t="n">
        <f aca="false">F188*VLOOKUP(IF(G188="ر.س","SAR",G188),المدخلات!$A$4:$B$9,2,FALSE())*IF(H188="نعم",المدخلات!$B$11,1)</f>
        <v>5000</v>
      </c>
      <c r="J188" s="4" t="n">
        <f aca="false">E188*I188</f>
        <v>5000</v>
      </c>
      <c r="K188" s="2" t="s">
        <v>32</v>
      </c>
      <c r="L188" s="2" t="s">
        <v>27</v>
      </c>
      <c r="M188" s="19" t="s">
        <v>150</v>
      </c>
      <c r="N188" s="2"/>
    </row>
    <row r="189" customFormat="false" ht="15" hidden="false" customHeight="false" outlineLevel="0" collapsed="false">
      <c r="A189" s="22"/>
      <c r="B189" s="22"/>
      <c r="C189" s="23" t="s">
        <v>381</v>
      </c>
      <c r="D189" s="22"/>
      <c r="E189" s="22"/>
      <c r="F189" s="22"/>
      <c r="G189" s="22"/>
      <c r="H189" s="22"/>
      <c r="I189" s="22"/>
      <c r="J189" s="24" t="n">
        <f aca="false">SUMIF($A$4:$A$188,"13",$J$4:$J$188)</f>
        <v>68887.782253659</v>
      </c>
      <c r="K189" s="22"/>
      <c r="L189" s="22"/>
      <c r="M189" s="22"/>
      <c r="N189" s="2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5" hidden="false" customHeight="false" outlineLevel="0" collapsed="false">
      <c r="A191" s="17"/>
      <c r="B191" s="17"/>
      <c r="C191" s="18" t="s">
        <v>382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 customFormat="false" ht="26.85" hidden="false" customHeight="false" outlineLevel="0" collapsed="false">
      <c r="A192" s="2" t="s">
        <v>71</v>
      </c>
      <c r="B192" s="2" t="n">
        <v>1</v>
      </c>
      <c r="C192" s="19" t="s">
        <v>383</v>
      </c>
      <c r="D192" s="2" t="s">
        <v>144</v>
      </c>
      <c r="E192" s="20" t="n">
        <v>1</v>
      </c>
      <c r="F192" s="9" t="n">
        <v>4275</v>
      </c>
      <c r="G192" s="2" t="s">
        <v>94</v>
      </c>
      <c r="H192" s="2" t="s">
        <v>141</v>
      </c>
      <c r="I192" s="4" t="n">
        <f aca="false">F192*VLOOKUP(IF(G192="ر.س","SAR",G192),المدخلات!$A$4:$B$9,2,FALSE())*IF(H192="نعم",المدخلات!$B$11,1)</f>
        <v>5019.99659632403</v>
      </c>
      <c r="J192" s="4" t="n">
        <f aca="false">E192*I192</f>
        <v>5019.99659632403</v>
      </c>
      <c r="K192" s="2" t="s">
        <v>30</v>
      </c>
      <c r="L192" s="2" t="s">
        <v>25</v>
      </c>
      <c r="M192" s="19" t="s">
        <v>384</v>
      </c>
      <c r="N192" s="2" t="s">
        <v>385</v>
      </c>
    </row>
    <row r="193" customFormat="false" ht="15" hidden="false" customHeight="false" outlineLevel="0" collapsed="false">
      <c r="A193" s="2" t="s">
        <v>71</v>
      </c>
      <c r="B193" s="2" t="n">
        <v>2</v>
      </c>
      <c r="C193" s="19" t="s">
        <v>386</v>
      </c>
      <c r="D193" s="2" t="s">
        <v>140</v>
      </c>
      <c r="E193" s="20" t="n">
        <v>1</v>
      </c>
      <c r="F193" s="9" t="n">
        <v>8000</v>
      </c>
      <c r="G193" s="2" t="s">
        <v>130</v>
      </c>
      <c r="H193" s="2" t="s">
        <v>131</v>
      </c>
      <c r="I193" s="4" t="n">
        <f aca="false">F193*VLOOKUP(IF(G193="ر.س","SAR",G193),المدخلات!$A$4:$B$9,2,FALSE())*IF(H193="نعم",المدخلات!$B$11,1)</f>
        <v>8000</v>
      </c>
      <c r="J193" s="4" t="n">
        <f aca="false">E193*I193</f>
        <v>8000</v>
      </c>
      <c r="K193" s="2" t="s">
        <v>30</v>
      </c>
      <c r="L193" s="2" t="s">
        <v>27</v>
      </c>
      <c r="M193" s="19" t="s">
        <v>150</v>
      </c>
      <c r="N193" s="2"/>
    </row>
    <row r="194" customFormat="false" ht="15" hidden="false" customHeight="false" outlineLevel="0" collapsed="false">
      <c r="A194" s="2" t="s">
        <v>71</v>
      </c>
      <c r="B194" s="2" t="n">
        <v>3</v>
      </c>
      <c r="C194" s="19" t="s">
        <v>387</v>
      </c>
      <c r="D194" s="2" t="s">
        <v>159</v>
      </c>
      <c r="E194" s="20" t="n">
        <v>1</v>
      </c>
      <c r="F194" s="9" t="n">
        <v>6000</v>
      </c>
      <c r="G194" s="2" t="s">
        <v>130</v>
      </c>
      <c r="H194" s="2" t="s">
        <v>131</v>
      </c>
      <c r="I194" s="4" t="n">
        <f aca="false">F194*VLOOKUP(IF(G194="ر.س","SAR",G194),المدخلات!$A$4:$B$9,2,FALSE())*IF(H194="نعم",المدخلات!$B$11,1)</f>
        <v>6000</v>
      </c>
      <c r="J194" s="4" t="n">
        <f aca="false">E194*I194</f>
        <v>6000</v>
      </c>
      <c r="K194" s="2" t="s">
        <v>32</v>
      </c>
      <c r="L194" s="2" t="s">
        <v>27</v>
      </c>
      <c r="M194" s="19" t="s">
        <v>150</v>
      </c>
      <c r="N194" s="2"/>
    </row>
    <row r="195" customFormat="false" ht="15" hidden="false" customHeight="false" outlineLevel="0" collapsed="false">
      <c r="A195" s="2" t="s">
        <v>71</v>
      </c>
      <c r="B195" s="2" t="n">
        <v>4</v>
      </c>
      <c r="C195" s="19" t="s">
        <v>388</v>
      </c>
      <c r="D195" s="2" t="s">
        <v>140</v>
      </c>
      <c r="E195" s="20" t="n">
        <v>1</v>
      </c>
      <c r="F195" s="9" t="n">
        <v>2848</v>
      </c>
      <c r="G195" s="2" t="s">
        <v>94</v>
      </c>
      <c r="H195" s="2" t="s">
        <v>141</v>
      </c>
      <c r="I195" s="4" t="n">
        <f aca="false">F195*VLOOKUP(IF(G195="ر.س","SAR",G195),المدخلات!$A$4:$B$9,2,FALSE())*IF(H195="نعم",المدخلات!$B$11,1)</f>
        <v>3344.31586113002</v>
      </c>
      <c r="J195" s="4" t="n">
        <f aca="false">E195*I195</f>
        <v>3344.31586113002</v>
      </c>
      <c r="K195" s="2" t="s">
        <v>30</v>
      </c>
      <c r="L195" s="2" t="s">
        <v>25</v>
      </c>
      <c r="M195" s="19" t="s">
        <v>389</v>
      </c>
      <c r="N195" s="2" t="s">
        <v>390</v>
      </c>
    </row>
    <row r="196" customFormat="false" ht="15" hidden="false" customHeight="false" outlineLevel="0" collapsed="false">
      <c r="A196" s="2" t="s">
        <v>71</v>
      </c>
      <c r="B196" s="2" t="n">
        <v>5</v>
      </c>
      <c r="C196" s="19" t="s">
        <v>391</v>
      </c>
      <c r="D196" s="2" t="s">
        <v>144</v>
      </c>
      <c r="E196" s="20" t="n">
        <v>1</v>
      </c>
      <c r="F196" s="9" t="n">
        <v>1800</v>
      </c>
      <c r="G196" s="2" t="s">
        <v>130</v>
      </c>
      <c r="H196" s="2" t="s">
        <v>131</v>
      </c>
      <c r="I196" s="4" t="n">
        <f aca="false">F196*VLOOKUP(IF(G196="ر.س","SAR",G196),المدخلات!$A$4:$B$9,2,FALSE())*IF(H196="نعم",المدخلات!$B$11,1)</f>
        <v>1800</v>
      </c>
      <c r="J196" s="4" t="n">
        <f aca="false">E196*I196</f>
        <v>1800</v>
      </c>
      <c r="K196" s="2" t="s">
        <v>30</v>
      </c>
      <c r="L196" s="2" t="s">
        <v>27</v>
      </c>
      <c r="M196" s="19" t="s">
        <v>150</v>
      </c>
      <c r="N196" s="2"/>
    </row>
    <row r="197" customFormat="false" ht="15" hidden="false" customHeight="false" outlineLevel="0" collapsed="false">
      <c r="A197" s="2" t="s">
        <v>71</v>
      </c>
      <c r="B197" s="2" t="n">
        <v>6</v>
      </c>
      <c r="C197" s="19" t="s">
        <v>392</v>
      </c>
      <c r="D197" s="2" t="s">
        <v>140</v>
      </c>
      <c r="E197" s="20" t="n">
        <v>2</v>
      </c>
      <c r="F197" s="9" t="n">
        <v>4296</v>
      </c>
      <c r="G197" s="2" t="s">
        <v>130</v>
      </c>
      <c r="H197" s="2" t="s">
        <v>131</v>
      </c>
      <c r="I197" s="4" t="n">
        <f aca="false">F197*VLOOKUP(IF(G197="ر.س","SAR",G197),المدخلات!$A$4:$B$9,2,FALSE())*IF(H197="نعم",المدخلات!$B$11,1)</f>
        <v>4296</v>
      </c>
      <c r="J197" s="4" t="n">
        <f aca="false">E197*I197</f>
        <v>8592</v>
      </c>
      <c r="K197" s="2" t="s">
        <v>30</v>
      </c>
      <c r="L197" s="2" t="s">
        <v>24</v>
      </c>
      <c r="M197" s="19" t="s">
        <v>393</v>
      </c>
      <c r="N197" s="2" t="s">
        <v>394</v>
      </c>
    </row>
    <row r="198" customFormat="false" ht="15" hidden="false" customHeight="false" outlineLevel="0" collapsed="false">
      <c r="A198" s="2" t="s">
        <v>71</v>
      </c>
      <c r="B198" s="2" t="n">
        <v>7</v>
      </c>
      <c r="C198" s="19" t="s">
        <v>395</v>
      </c>
      <c r="D198" s="2" t="s">
        <v>144</v>
      </c>
      <c r="E198" s="20" t="n">
        <v>2</v>
      </c>
      <c r="F198" s="9" t="n">
        <v>1550</v>
      </c>
      <c r="G198" s="2" t="s">
        <v>130</v>
      </c>
      <c r="H198" s="2" t="s">
        <v>131</v>
      </c>
      <c r="I198" s="4" t="n">
        <f aca="false">F198*VLOOKUP(IF(G198="ر.س","SAR",G198),المدخلات!$A$4:$B$9,2,FALSE())*IF(H198="نعم",المدخلات!$B$11,1)</f>
        <v>1550</v>
      </c>
      <c r="J198" s="4" t="n">
        <f aca="false">E198*I198</f>
        <v>3100</v>
      </c>
      <c r="K198" s="2" t="s">
        <v>30</v>
      </c>
      <c r="L198" s="2" t="s">
        <v>27</v>
      </c>
      <c r="M198" s="19" t="s">
        <v>150</v>
      </c>
      <c r="N198" s="2"/>
    </row>
    <row r="199" customFormat="false" ht="15" hidden="false" customHeight="false" outlineLevel="0" collapsed="false">
      <c r="A199" s="2" t="s">
        <v>71</v>
      </c>
      <c r="B199" s="2" t="n">
        <v>8</v>
      </c>
      <c r="C199" s="19" t="s">
        <v>396</v>
      </c>
      <c r="D199" s="2" t="s">
        <v>140</v>
      </c>
      <c r="E199" s="20" t="n">
        <v>1</v>
      </c>
      <c r="F199" s="9" t="n">
        <v>1912</v>
      </c>
      <c r="G199" s="2" t="s">
        <v>130</v>
      </c>
      <c r="H199" s="2" t="s">
        <v>131</v>
      </c>
      <c r="I199" s="4" t="n">
        <f aca="false">F199*VLOOKUP(IF(G199="ر.س","SAR",G199),المدخلات!$A$4:$B$9,2,FALSE())*IF(H199="نعم",المدخلات!$B$11,1)</f>
        <v>1912</v>
      </c>
      <c r="J199" s="4" t="n">
        <f aca="false">E199*I199</f>
        <v>1912</v>
      </c>
      <c r="K199" s="2" t="s">
        <v>30</v>
      </c>
      <c r="L199" s="2" t="s">
        <v>24</v>
      </c>
      <c r="M199" s="19" t="s">
        <v>397</v>
      </c>
      <c r="N199" s="2" t="s">
        <v>398</v>
      </c>
    </row>
    <row r="200" customFormat="false" ht="15" hidden="false" customHeight="false" outlineLevel="0" collapsed="false">
      <c r="A200" s="2" t="s">
        <v>71</v>
      </c>
      <c r="B200" s="2" t="n">
        <v>9</v>
      </c>
      <c r="C200" s="19" t="s">
        <v>399</v>
      </c>
      <c r="D200" s="2" t="s">
        <v>159</v>
      </c>
      <c r="E200" s="20" t="n">
        <v>1</v>
      </c>
      <c r="F200" s="9" t="n">
        <v>2000</v>
      </c>
      <c r="G200" s="2" t="s">
        <v>130</v>
      </c>
      <c r="H200" s="2" t="s">
        <v>131</v>
      </c>
      <c r="I200" s="4" t="n">
        <f aca="false">F200*VLOOKUP(IF(G200="ر.س","SAR",G200),المدخلات!$A$4:$B$9,2,FALSE())*IF(H200="نعم",المدخلات!$B$11,1)</f>
        <v>2000</v>
      </c>
      <c r="J200" s="4" t="n">
        <f aca="false">E200*I200</f>
        <v>2000</v>
      </c>
      <c r="K200" s="2" t="s">
        <v>32</v>
      </c>
      <c r="L200" s="2" t="s">
        <v>27</v>
      </c>
      <c r="M200" s="19" t="s">
        <v>150</v>
      </c>
      <c r="N200" s="2"/>
    </row>
    <row r="201" customFormat="false" ht="15" hidden="false" customHeight="false" outlineLevel="0" collapsed="false">
      <c r="A201" s="22"/>
      <c r="B201" s="22"/>
      <c r="C201" s="23" t="s">
        <v>400</v>
      </c>
      <c r="D201" s="22"/>
      <c r="E201" s="22"/>
      <c r="F201" s="22"/>
      <c r="G201" s="22"/>
      <c r="H201" s="22"/>
      <c r="I201" s="22"/>
      <c r="J201" s="24" t="n">
        <f aca="false">SUMIF($A$4:$A$200,"14",$J$4:$J$200)</f>
        <v>39768.3124574541</v>
      </c>
      <c r="K201" s="22"/>
      <c r="L201" s="22"/>
      <c r="M201" s="22"/>
      <c r="N201" s="2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5" hidden="false" customHeight="false" outlineLevel="0" collapsed="false">
      <c r="A203" s="17"/>
      <c r="B203" s="17"/>
      <c r="C203" s="18" t="s">
        <v>401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 customFormat="false" ht="26.85" hidden="false" customHeight="false" outlineLevel="0" collapsed="false">
      <c r="A204" s="2" t="s">
        <v>73</v>
      </c>
      <c r="B204" s="2" t="n">
        <v>1</v>
      </c>
      <c r="C204" s="19" t="s">
        <v>402</v>
      </c>
      <c r="D204" s="2" t="s">
        <v>165</v>
      </c>
      <c r="E204" s="20" t="n">
        <v>6</v>
      </c>
      <c r="F204" s="9" t="n">
        <v>1400</v>
      </c>
      <c r="G204" s="2" t="s">
        <v>89</v>
      </c>
      <c r="H204" s="2" t="s">
        <v>141</v>
      </c>
      <c r="I204" s="4" t="n">
        <f aca="false">F204*VLOOKUP(IF(G204="ر.س","SAR",G204),المدخلات!$A$4:$B$9,2,FALSE())*IF(H204="نعم",المدخلات!$B$11,1)</f>
        <v>6037.5</v>
      </c>
      <c r="J204" s="4" t="n">
        <f aca="false">E204*I204</f>
        <v>36225</v>
      </c>
      <c r="K204" s="2" t="s">
        <v>30</v>
      </c>
      <c r="L204" s="2" t="s">
        <v>26</v>
      </c>
      <c r="M204" s="19" t="s">
        <v>403</v>
      </c>
      <c r="N204" s="2" t="s">
        <v>404</v>
      </c>
    </row>
    <row r="205" customFormat="false" ht="15" hidden="false" customHeight="false" outlineLevel="0" collapsed="false">
      <c r="A205" s="2" t="s">
        <v>73</v>
      </c>
      <c r="B205" s="2" t="n">
        <v>2</v>
      </c>
      <c r="C205" s="19" t="s">
        <v>405</v>
      </c>
      <c r="D205" s="2" t="s">
        <v>144</v>
      </c>
      <c r="E205" s="20" t="n">
        <v>1</v>
      </c>
      <c r="F205" s="9" t="n">
        <v>3500</v>
      </c>
      <c r="G205" s="2" t="s">
        <v>130</v>
      </c>
      <c r="H205" s="2" t="s">
        <v>131</v>
      </c>
      <c r="I205" s="4" t="n">
        <f aca="false">F205*VLOOKUP(IF(G205="ر.س","SAR",G205),المدخلات!$A$4:$B$9,2,FALSE())*IF(H205="نعم",المدخلات!$B$11,1)</f>
        <v>3500</v>
      </c>
      <c r="J205" s="4" t="n">
        <f aca="false">E205*I205</f>
        <v>3500</v>
      </c>
      <c r="K205" s="2" t="s">
        <v>30</v>
      </c>
      <c r="L205" s="2" t="s">
        <v>27</v>
      </c>
      <c r="M205" s="19" t="s">
        <v>150</v>
      </c>
      <c r="N205" s="2"/>
    </row>
    <row r="206" customFormat="false" ht="15" hidden="false" customHeight="false" outlineLevel="0" collapsed="false">
      <c r="A206" s="2" t="s">
        <v>73</v>
      </c>
      <c r="B206" s="2" t="n">
        <v>3</v>
      </c>
      <c r="C206" s="19" t="s">
        <v>406</v>
      </c>
      <c r="D206" s="2" t="s">
        <v>144</v>
      </c>
      <c r="E206" s="20" t="n">
        <v>1</v>
      </c>
      <c r="F206" s="9" t="n">
        <v>4500</v>
      </c>
      <c r="G206" s="2" t="s">
        <v>130</v>
      </c>
      <c r="H206" s="2" t="s">
        <v>131</v>
      </c>
      <c r="I206" s="4" t="n">
        <f aca="false">F206*VLOOKUP(IF(G206="ر.س","SAR",G206),المدخلات!$A$4:$B$9,2,FALSE())*IF(H206="نعم",المدخلات!$B$11,1)</f>
        <v>4500</v>
      </c>
      <c r="J206" s="4" t="n">
        <f aca="false">E206*I206</f>
        <v>4500</v>
      </c>
      <c r="K206" s="2" t="s">
        <v>30</v>
      </c>
      <c r="L206" s="2" t="s">
        <v>27</v>
      </c>
      <c r="M206" s="19" t="s">
        <v>150</v>
      </c>
      <c r="N206" s="2"/>
    </row>
    <row r="207" customFormat="false" ht="15" hidden="false" customHeight="false" outlineLevel="0" collapsed="false">
      <c r="A207" s="2" t="s">
        <v>73</v>
      </c>
      <c r="B207" s="2" t="n">
        <v>4</v>
      </c>
      <c r="C207" s="19" t="s">
        <v>407</v>
      </c>
      <c r="D207" s="2" t="s">
        <v>144</v>
      </c>
      <c r="E207" s="20" t="n">
        <v>1</v>
      </c>
      <c r="F207" s="9" t="n">
        <v>1200</v>
      </c>
      <c r="G207" s="2" t="s">
        <v>130</v>
      </c>
      <c r="H207" s="2" t="s">
        <v>131</v>
      </c>
      <c r="I207" s="4" t="n">
        <f aca="false">F207*VLOOKUP(IF(G207="ر.س","SAR",G207),المدخلات!$A$4:$B$9,2,FALSE())*IF(H207="نعم",المدخلات!$B$11,1)</f>
        <v>1200</v>
      </c>
      <c r="J207" s="4" t="n">
        <f aca="false">E207*I207</f>
        <v>1200</v>
      </c>
      <c r="K207" s="2" t="s">
        <v>30</v>
      </c>
      <c r="L207" s="2" t="s">
        <v>27</v>
      </c>
      <c r="M207" s="19" t="s">
        <v>150</v>
      </c>
      <c r="N207" s="2"/>
    </row>
    <row r="208" customFormat="false" ht="15" hidden="false" customHeight="false" outlineLevel="0" collapsed="false">
      <c r="A208" s="2" t="s">
        <v>73</v>
      </c>
      <c r="B208" s="2" t="n">
        <v>5</v>
      </c>
      <c r="C208" s="19" t="s">
        <v>408</v>
      </c>
      <c r="D208" s="2" t="s">
        <v>135</v>
      </c>
      <c r="E208" s="20" t="n">
        <v>6</v>
      </c>
      <c r="F208" s="21" t="n">
        <f aca="false">المدخلات!$B$13</f>
        <v>380</v>
      </c>
      <c r="G208" s="2" t="s">
        <v>130</v>
      </c>
      <c r="H208" s="2" t="s">
        <v>131</v>
      </c>
      <c r="I208" s="4" t="n">
        <f aca="false">F208*VLOOKUP(IF(G208="ر.س","SAR",G208),المدخلات!$A$4:$B$9,2,FALSE())*IF(H208="نعم",المدخلات!$B$11,1)</f>
        <v>380</v>
      </c>
      <c r="J208" s="4" t="n">
        <f aca="false">E208*I208</f>
        <v>2280</v>
      </c>
      <c r="K208" s="2" t="s">
        <v>31</v>
      </c>
      <c r="L208" s="2" t="s">
        <v>27</v>
      </c>
      <c r="M208" s="19" t="s">
        <v>182</v>
      </c>
      <c r="N208" s="2" t="s">
        <v>137</v>
      </c>
    </row>
    <row r="209" customFormat="false" ht="15" hidden="false" customHeight="false" outlineLevel="0" collapsed="false">
      <c r="A209" s="22"/>
      <c r="B209" s="22"/>
      <c r="C209" s="23" t="s">
        <v>409</v>
      </c>
      <c r="D209" s="22"/>
      <c r="E209" s="22"/>
      <c r="F209" s="22"/>
      <c r="G209" s="22"/>
      <c r="H209" s="22"/>
      <c r="I209" s="22"/>
      <c r="J209" s="24" t="n">
        <f aca="false">SUMIF($A$4:$A$208,"15",$J$4:$J$208)</f>
        <v>47705</v>
      </c>
      <c r="K209" s="22"/>
      <c r="L209" s="22"/>
      <c r="M209" s="22"/>
      <c r="N209" s="2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5" hidden="false" customHeight="false" outlineLevel="0" collapsed="false">
      <c r="A211" s="17"/>
      <c r="B211" s="17"/>
      <c r="C211" s="18" t="s">
        <v>410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 customFormat="false" ht="26.85" hidden="false" customHeight="false" outlineLevel="0" collapsed="false">
      <c r="A212" s="2" t="s">
        <v>75</v>
      </c>
      <c r="B212" s="2" t="n">
        <v>1</v>
      </c>
      <c r="C212" s="19" t="s">
        <v>411</v>
      </c>
      <c r="D212" s="2" t="s">
        <v>144</v>
      </c>
      <c r="E212" s="20" t="n">
        <v>1</v>
      </c>
      <c r="F212" s="9" t="n">
        <v>14000</v>
      </c>
      <c r="G212" s="2" t="s">
        <v>130</v>
      </c>
      <c r="H212" s="2" t="s">
        <v>131</v>
      </c>
      <c r="I212" s="4" t="n">
        <f aca="false">F212*VLOOKUP(IF(G212="ر.س","SAR",G212),المدخلات!$A$4:$B$9,2,FALSE())*IF(H212="نعم",المدخلات!$B$11,1)</f>
        <v>14000</v>
      </c>
      <c r="J212" s="4" t="n">
        <f aca="false">E212*I212</f>
        <v>14000</v>
      </c>
      <c r="K212" s="2" t="s">
        <v>32</v>
      </c>
      <c r="L212" s="2" t="s">
        <v>27</v>
      </c>
      <c r="M212" s="19" t="s">
        <v>412</v>
      </c>
      <c r="N212" s="2"/>
    </row>
    <row r="213" customFormat="false" ht="15" hidden="false" customHeight="false" outlineLevel="0" collapsed="false">
      <c r="A213" s="2" t="s">
        <v>75</v>
      </c>
      <c r="B213" s="2" t="n">
        <v>2</v>
      </c>
      <c r="C213" s="19" t="s">
        <v>413</v>
      </c>
      <c r="D213" s="2" t="s">
        <v>140</v>
      </c>
      <c r="E213" s="20" t="n">
        <v>3</v>
      </c>
      <c r="F213" s="9" t="n">
        <v>1600</v>
      </c>
      <c r="G213" s="2" t="s">
        <v>130</v>
      </c>
      <c r="H213" s="2" t="s">
        <v>131</v>
      </c>
      <c r="I213" s="4" t="n">
        <f aca="false">F213*VLOOKUP(IF(G213="ر.س","SAR",G213),المدخلات!$A$4:$B$9,2,FALSE())*IF(H213="نعم",المدخلات!$B$11,1)</f>
        <v>1600</v>
      </c>
      <c r="J213" s="4" t="n">
        <f aca="false">E213*I213</f>
        <v>4800</v>
      </c>
      <c r="K213" s="2" t="s">
        <v>30</v>
      </c>
      <c r="L213" s="2" t="s">
        <v>27</v>
      </c>
      <c r="M213" s="19" t="s">
        <v>145</v>
      </c>
      <c r="N213" s="2"/>
    </row>
    <row r="214" customFormat="false" ht="15" hidden="false" customHeight="false" outlineLevel="0" collapsed="false">
      <c r="A214" s="2" t="s">
        <v>75</v>
      </c>
      <c r="B214" s="2" t="n">
        <v>3</v>
      </c>
      <c r="C214" s="19" t="s">
        <v>414</v>
      </c>
      <c r="D214" s="2" t="s">
        <v>140</v>
      </c>
      <c r="E214" s="20" t="n">
        <v>2</v>
      </c>
      <c r="F214" s="9" t="n">
        <v>1800</v>
      </c>
      <c r="G214" s="2" t="s">
        <v>130</v>
      </c>
      <c r="H214" s="2" t="s">
        <v>131</v>
      </c>
      <c r="I214" s="4" t="n">
        <f aca="false">F214*VLOOKUP(IF(G214="ر.س","SAR",G214),المدخلات!$A$4:$B$9,2,FALSE())*IF(H214="نعم",المدخلات!$B$11,1)</f>
        <v>1800</v>
      </c>
      <c r="J214" s="4" t="n">
        <f aca="false">E214*I214</f>
        <v>3600</v>
      </c>
      <c r="K214" s="2" t="s">
        <v>30</v>
      </c>
      <c r="L214" s="2" t="s">
        <v>27</v>
      </c>
      <c r="M214" s="19" t="s">
        <v>150</v>
      </c>
      <c r="N214" s="2"/>
    </row>
    <row r="215" customFormat="false" ht="15" hidden="false" customHeight="false" outlineLevel="0" collapsed="false">
      <c r="A215" s="2" t="s">
        <v>75</v>
      </c>
      <c r="B215" s="2" t="n">
        <v>4</v>
      </c>
      <c r="C215" s="19" t="s">
        <v>415</v>
      </c>
      <c r="D215" s="2" t="s">
        <v>140</v>
      </c>
      <c r="E215" s="20" t="n">
        <v>1</v>
      </c>
      <c r="F215" s="9" t="n">
        <v>244.59</v>
      </c>
      <c r="G215" s="2" t="s">
        <v>93</v>
      </c>
      <c r="H215" s="2" t="s">
        <v>141</v>
      </c>
      <c r="I215" s="4" t="n">
        <f aca="false">F215*VLOOKUP(IF(G215="ر.س","SAR",G215),المدخلات!$A$4:$B$9,2,FALSE())*IF(H215="نعم",المدخلات!$B$11,1)</f>
        <v>1420.456425</v>
      </c>
      <c r="J215" s="4" t="n">
        <f aca="false">E215*I215</f>
        <v>1420.456425</v>
      </c>
      <c r="K215" s="2" t="s">
        <v>30</v>
      </c>
      <c r="L215" s="2" t="s">
        <v>25</v>
      </c>
      <c r="M215" s="19" t="s">
        <v>416</v>
      </c>
      <c r="N215" s="2" t="s">
        <v>417</v>
      </c>
    </row>
    <row r="216" customFormat="false" ht="15" hidden="false" customHeight="false" outlineLevel="0" collapsed="false">
      <c r="A216" s="2" t="s">
        <v>75</v>
      </c>
      <c r="B216" s="2" t="n">
        <v>5</v>
      </c>
      <c r="C216" s="19" t="s">
        <v>418</v>
      </c>
      <c r="D216" s="2" t="s">
        <v>140</v>
      </c>
      <c r="E216" s="20" t="n">
        <v>7</v>
      </c>
      <c r="F216" s="9" t="n">
        <v>120</v>
      </c>
      <c r="G216" s="2" t="s">
        <v>130</v>
      </c>
      <c r="H216" s="2" t="s">
        <v>131</v>
      </c>
      <c r="I216" s="4" t="n">
        <f aca="false">F216*VLOOKUP(IF(G216="ر.س","SAR",G216),المدخلات!$A$4:$B$9,2,FALSE())*IF(H216="نعم",المدخلات!$B$11,1)</f>
        <v>120</v>
      </c>
      <c r="J216" s="4" t="n">
        <f aca="false">E216*I216</f>
        <v>840</v>
      </c>
      <c r="K216" s="2" t="s">
        <v>30</v>
      </c>
      <c r="L216" s="2" t="s">
        <v>27</v>
      </c>
      <c r="M216" s="19" t="s">
        <v>150</v>
      </c>
      <c r="N216" s="2"/>
    </row>
    <row r="217" customFormat="false" ht="15" hidden="false" customHeight="false" outlineLevel="0" collapsed="false">
      <c r="A217" s="2" t="s">
        <v>75</v>
      </c>
      <c r="B217" s="2" t="n">
        <v>6</v>
      </c>
      <c r="C217" s="19" t="s">
        <v>419</v>
      </c>
      <c r="D217" s="2" t="s">
        <v>140</v>
      </c>
      <c r="E217" s="20" t="n">
        <v>1</v>
      </c>
      <c r="F217" s="9" t="n">
        <v>2500</v>
      </c>
      <c r="G217" s="2" t="s">
        <v>130</v>
      </c>
      <c r="H217" s="2" t="s">
        <v>131</v>
      </c>
      <c r="I217" s="4" t="n">
        <f aca="false">F217*VLOOKUP(IF(G217="ر.س","SAR",G217),المدخلات!$A$4:$B$9,2,FALSE())*IF(H217="نعم",المدخلات!$B$11,1)</f>
        <v>2500</v>
      </c>
      <c r="J217" s="4" t="n">
        <f aca="false">E217*I217</f>
        <v>2500</v>
      </c>
      <c r="K217" s="2" t="s">
        <v>30</v>
      </c>
      <c r="L217" s="2" t="s">
        <v>27</v>
      </c>
      <c r="M217" s="19" t="s">
        <v>150</v>
      </c>
      <c r="N217" s="2"/>
    </row>
    <row r="218" customFormat="false" ht="15" hidden="false" customHeight="false" outlineLevel="0" collapsed="false">
      <c r="A218" s="2" t="s">
        <v>75</v>
      </c>
      <c r="B218" s="2" t="n">
        <v>7</v>
      </c>
      <c r="C218" s="19" t="s">
        <v>420</v>
      </c>
      <c r="D218" s="2" t="s">
        <v>140</v>
      </c>
      <c r="E218" s="20" t="n">
        <v>4</v>
      </c>
      <c r="F218" s="9" t="n">
        <v>190</v>
      </c>
      <c r="G218" s="2" t="s">
        <v>130</v>
      </c>
      <c r="H218" s="2" t="s">
        <v>131</v>
      </c>
      <c r="I218" s="4" t="n">
        <f aca="false">F218*VLOOKUP(IF(G218="ر.س","SAR",G218),المدخلات!$A$4:$B$9,2,FALSE())*IF(H218="نعم",المدخلات!$B$11,1)</f>
        <v>190</v>
      </c>
      <c r="J218" s="4" t="n">
        <f aca="false">E218*I218</f>
        <v>760</v>
      </c>
      <c r="K218" s="2" t="s">
        <v>30</v>
      </c>
      <c r="L218" s="2" t="s">
        <v>27</v>
      </c>
      <c r="M218" s="19" t="s">
        <v>150</v>
      </c>
      <c r="N218" s="2"/>
    </row>
    <row r="219" customFormat="false" ht="15" hidden="false" customHeight="false" outlineLevel="0" collapsed="false">
      <c r="A219" s="2" t="s">
        <v>75</v>
      </c>
      <c r="B219" s="2" t="n">
        <v>8</v>
      </c>
      <c r="C219" s="19" t="s">
        <v>421</v>
      </c>
      <c r="D219" s="2" t="s">
        <v>144</v>
      </c>
      <c r="E219" s="20" t="n">
        <v>1</v>
      </c>
      <c r="F219" s="9" t="n">
        <v>1300</v>
      </c>
      <c r="G219" s="2" t="s">
        <v>130</v>
      </c>
      <c r="H219" s="2" t="s">
        <v>131</v>
      </c>
      <c r="I219" s="4" t="n">
        <f aca="false">F219*VLOOKUP(IF(G219="ر.س","SAR",G219),المدخلات!$A$4:$B$9,2,FALSE())*IF(H219="نعم",المدخلات!$B$11,1)</f>
        <v>1300</v>
      </c>
      <c r="J219" s="4" t="n">
        <f aca="false">E219*I219</f>
        <v>1300</v>
      </c>
      <c r="K219" s="2" t="s">
        <v>30</v>
      </c>
      <c r="L219" s="2" t="s">
        <v>26</v>
      </c>
      <c r="M219" s="19" t="s">
        <v>422</v>
      </c>
      <c r="N219" s="2" t="s">
        <v>423</v>
      </c>
    </row>
    <row r="220" customFormat="false" ht="15" hidden="false" customHeight="false" outlineLevel="0" collapsed="false">
      <c r="A220" s="2" t="s">
        <v>75</v>
      </c>
      <c r="B220" s="2" t="n">
        <v>9</v>
      </c>
      <c r="C220" s="19" t="s">
        <v>424</v>
      </c>
      <c r="D220" s="2" t="s">
        <v>140</v>
      </c>
      <c r="E220" s="20" t="n">
        <v>1</v>
      </c>
      <c r="F220" s="9" t="n">
        <v>1400</v>
      </c>
      <c r="G220" s="2" t="s">
        <v>130</v>
      </c>
      <c r="H220" s="2" t="s">
        <v>131</v>
      </c>
      <c r="I220" s="4" t="n">
        <f aca="false">F220*VLOOKUP(IF(G220="ر.س","SAR",G220),المدخلات!$A$4:$B$9,2,FALSE())*IF(H220="نعم",المدخلات!$B$11,1)</f>
        <v>1400</v>
      </c>
      <c r="J220" s="4" t="n">
        <f aca="false">E220*I220</f>
        <v>1400</v>
      </c>
      <c r="K220" s="2" t="s">
        <v>30</v>
      </c>
      <c r="L220" s="2" t="s">
        <v>27</v>
      </c>
      <c r="M220" s="19" t="s">
        <v>150</v>
      </c>
      <c r="N220" s="2"/>
    </row>
    <row r="221" customFormat="false" ht="15" hidden="false" customHeight="false" outlineLevel="0" collapsed="false">
      <c r="A221" s="2" t="s">
        <v>75</v>
      </c>
      <c r="B221" s="2" t="n">
        <v>10</v>
      </c>
      <c r="C221" s="19" t="s">
        <v>425</v>
      </c>
      <c r="D221" s="2" t="s">
        <v>144</v>
      </c>
      <c r="E221" s="20" t="n">
        <v>1</v>
      </c>
      <c r="F221" s="9" t="n">
        <v>1200</v>
      </c>
      <c r="G221" s="2" t="s">
        <v>130</v>
      </c>
      <c r="H221" s="2" t="s">
        <v>131</v>
      </c>
      <c r="I221" s="4" t="n">
        <f aca="false">F221*VLOOKUP(IF(G221="ر.س","SAR",G221),المدخلات!$A$4:$B$9,2,FALSE())*IF(H221="نعم",المدخلات!$B$11,1)</f>
        <v>1200</v>
      </c>
      <c r="J221" s="4" t="n">
        <f aca="false">E221*I221</f>
        <v>1200</v>
      </c>
      <c r="K221" s="2" t="s">
        <v>30</v>
      </c>
      <c r="L221" s="2" t="s">
        <v>27</v>
      </c>
      <c r="M221" s="19" t="s">
        <v>150</v>
      </c>
      <c r="N221" s="2"/>
    </row>
    <row r="222" customFormat="false" ht="15" hidden="false" customHeight="false" outlineLevel="0" collapsed="false">
      <c r="A222" s="2" t="s">
        <v>75</v>
      </c>
      <c r="B222" s="2" t="n">
        <v>11</v>
      </c>
      <c r="C222" s="19" t="s">
        <v>426</v>
      </c>
      <c r="D222" s="2" t="s">
        <v>159</v>
      </c>
      <c r="E222" s="20" t="n">
        <v>1</v>
      </c>
      <c r="F222" s="9" t="n">
        <v>3500</v>
      </c>
      <c r="G222" s="2" t="s">
        <v>130</v>
      </c>
      <c r="H222" s="2" t="s">
        <v>131</v>
      </c>
      <c r="I222" s="4" t="n">
        <f aca="false">F222*VLOOKUP(IF(G222="ر.س","SAR",G222),المدخلات!$A$4:$B$9,2,FALSE())*IF(H222="نعم",المدخلات!$B$11,1)</f>
        <v>3500</v>
      </c>
      <c r="J222" s="4" t="n">
        <f aca="false">E222*I222</f>
        <v>3500</v>
      </c>
      <c r="K222" s="2" t="s">
        <v>32</v>
      </c>
      <c r="L222" s="2" t="s">
        <v>27</v>
      </c>
      <c r="M222" s="19" t="s">
        <v>150</v>
      </c>
      <c r="N222" s="2"/>
    </row>
    <row r="223" customFormat="false" ht="15" hidden="false" customHeight="false" outlineLevel="0" collapsed="false">
      <c r="A223" s="22"/>
      <c r="B223" s="22"/>
      <c r="C223" s="23" t="s">
        <v>427</v>
      </c>
      <c r="D223" s="22"/>
      <c r="E223" s="22"/>
      <c r="F223" s="22"/>
      <c r="G223" s="22"/>
      <c r="H223" s="22"/>
      <c r="I223" s="22"/>
      <c r="J223" s="24" t="n">
        <f aca="false">SUMIF($A$4:$A$222,"16",$J$4:$J$222)</f>
        <v>35320.456425</v>
      </c>
      <c r="K223" s="22"/>
      <c r="L223" s="22"/>
      <c r="M223" s="22"/>
      <c r="N223" s="2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5" hidden="false" customHeight="false" outlineLevel="0" collapsed="false">
      <c r="A225" s="17"/>
      <c r="B225" s="17"/>
      <c r="C225" s="18" t="s">
        <v>428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 customFormat="false" ht="15" hidden="false" customHeight="false" outlineLevel="0" collapsed="false">
      <c r="A226" s="2" t="s">
        <v>77</v>
      </c>
      <c r="B226" s="2" t="n">
        <v>1</v>
      </c>
      <c r="C226" s="19" t="s">
        <v>429</v>
      </c>
      <c r="D226" s="2" t="s">
        <v>165</v>
      </c>
      <c r="E226" s="20" t="n">
        <v>70</v>
      </c>
      <c r="F226" s="9" t="n">
        <v>180</v>
      </c>
      <c r="G226" s="2" t="s">
        <v>130</v>
      </c>
      <c r="H226" s="2" t="s">
        <v>131</v>
      </c>
      <c r="I226" s="4" t="n">
        <f aca="false">F226*VLOOKUP(IF(G226="ر.س","SAR",G226),المدخلات!$A$4:$B$9,2,FALSE())*IF(H226="نعم",المدخلات!$B$11,1)</f>
        <v>180</v>
      </c>
      <c r="J226" s="4" t="n">
        <f aca="false">E226*I226</f>
        <v>12600</v>
      </c>
      <c r="K226" s="2" t="s">
        <v>32</v>
      </c>
      <c r="L226" s="2" t="s">
        <v>27</v>
      </c>
      <c r="M226" s="19" t="s">
        <v>174</v>
      </c>
      <c r="N226" s="2"/>
    </row>
    <row r="227" customFormat="false" ht="15" hidden="false" customHeight="false" outlineLevel="0" collapsed="false">
      <c r="A227" s="2" t="s">
        <v>77</v>
      </c>
      <c r="B227" s="2" t="n">
        <v>2</v>
      </c>
      <c r="C227" s="19" t="s">
        <v>430</v>
      </c>
      <c r="D227" s="2" t="s">
        <v>140</v>
      </c>
      <c r="E227" s="20" t="n">
        <v>1</v>
      </c>
      <c r="F227" s="9" t="n">
        <v>1528</v>
      </c>
      <c r="G227" s="2" t="s">
        <v>93</v>
      </c>
      <c r="H227" s="2" t="s">
        <v>141</v>
      </c>
      <c r="I227" s="4" t="n">
        <f aca="false">F227*VLOOKUP(IF(G227="ر.س","SAR",G227),المدخلات!$A$4:$B$9,2,FALSE())*IF(H227="نعم",المدخلات!$B$11,1)</f>
        <v>8873.86</v>
      </c>
      <c r="J227" s="4" t="n">
        <f aca="false">E227*I227</f>
        <v>8873.86</v>
      </c>
      <c r="K227" s="2" t="s">
        <v>30</v>
      </c>
      <c r="L227" s="2" t="s">
        <v>25</v>
      </c>
      <c r="M227" s="19" t="s">
        <v>431</v>
      </c>
      <c r="N227" s="2" t="s">
        <v>432</v>
      </c>
    </row>
    <row r="228" customFormat="false" ht="15" hidden="false" customHeight="false" outlineLevel="0" collapsed="false">
      <c r="A228" s="2" t="s">
        <v>77</v>
      </c>
      <c r="B228" s="2" t="n">
        <v>3</v>
      </c>
      <c r="C228" s="19" t="s">
        <v>433</v>
      </c>
      <c r="D228" s="2" t="s">
        <v>140</v>
      </c>
      <c r="E228" s="20" t="n">
        <v>1</v>
      </c>
      <c r="F228" s="9" t="n">
        <v>187</v>
      </c>
      <c r="G228" s="2" t="s">
        <v>96</v>
      </c>
      <c r="H228" s="2" t="s">
        <v>141</v>
      </c>
      <c r="I228" s="4" t="n">
        <f aca="false">F228*VLOOKUP(IF(G228="ر.س","SAR",G228),المدخلات!$A$4:$B$9,2,FALSE())*IF(H228="نعم",المدخلات!$B$11,1)</f>
        <v>526.8725</v>
      </c>
      <c r="J228" s="4" t="n">
        <f aca="false">E228*I228</f>
        <v>526.8725</v>
      </c>
      <c r="K228" s="2" t="s">
        <v>30</v>
      </c>
      <c r="L228" s="2" t="s">
        <v>25</v>
      </c>
      <c r="M228" s="19" t="s">
        <v>434</v>
      </c>
      <c r="N228" s="2" t="s">
        <v>435</v>
      </c>
    </row>
    <row r="229" customFormat="false" ht="15" hidden="false" customHeight="false" outlineLevel="0" collapsed="false">
      <c r="A229" s="2" t="s">
        <v>77</v>
      </c>
      <c r="B229" s="2" t="n">
        <v>4</v>
      </c>
      <c r="C229" s="19" t="s">
        <v>436</v>
      </c>
      <c r="D229" s="2" t="s">
        <v>159</v>
      </c>
      <c r="E229" s="20" t="n">
        <v>1</v>
      </c>
      <c r="F229" s="9" t="n">
        <v>800</v>
      </c>
      <c r="G229" s="2" t="s">
        <v>130</v>
      </c>
      <c r="H229" s="2" t="s">
        <v>131</v>
      </c>
      <c r="I229" s="4" t="n">
        <f aca="false">F229*VLOOKUP(IF(G229="ر.س","SAR",G229),المدخلات!$A$4:$B$9,2,FALSE())*IF(H229="نعم",المدخلات!$B$11,1)</f>
        <v>800</v>
      </c>
      <c r="J229" s="4" t="n">
        <f aca="false">E229*I229</f>
        <v>800</v>
      </c>
      <c r="K229" s="2" t="s">
        <v>30</v>
      </c>
      <c r="L229" s="2" t="s">
        <v>27</v>
      </c>
      <c r="M229" s="19" t="s">
        <v>150</v>
      </c>
      <c r="N229" s="2"/>
    </row>
    <row r="230" customFormat="false" ht="15" hidden="false" customHeight="false" outlineLevel="0" collapsed="false">
      <c r="A230" s="2" t="s">
        <v>77</v>
      </c>
      <c r="B230" s="2" t="n">
        <v>5</v>
      </c>
      <c r="C230" s="19" t="s">
        <v>437</v>
      </c>
      <c r="D230" s="2" t="s">
        <v>144</v>
      </c>
      <c r="E230" s="20" t="n">
        <v>1</v>
      </c>
      <c r="F230" s="9" t="n">
        <v>3500</v>
      </c>
      <c r="G230" s="2" t="s">
        <v>130</v>
      </c>
      <c r="H230" s="2" t="s">
        <v>131</v>
      </c>
      <c r="I230" s="4" t="n">
        <f aca="false">F230*VLOOKUP(IF(G230="ر.س","SAR",G230),المدخلات!$A$4:$B$9,2,FALSE())*IF(H230="نعم",المدخلات!$B$11,1)</f>
        <v>3500</v>
      </c>
      <c r="J230" s="4" t="n">
        <f aca="false">E230*I230</f>
        <v>3500</v>
      </c>
      <c r="K230" s="2" t="s">
        <v>30</v>
      </c>
      <c r="L230" s="2" t="s">
        <v>27</v>
      </c>
      <c r="M230" s="19" t="s">
        <v>150</v>
      </c>
      <c r="N230" s="2"/>
    </row>
    <row r="231" customFormat="false" ht="15" hidden="false" customHeight="false" outlineLevel="0" collapsed="false">
      <c r="A231" s="22"/>
      <c r="B231" s="22"/>
      <c r="C231" s="23" t="s">
        <v>438</v>
      </c>
      <c r="D231" s="22"/>
      <c r="E231" s="22"/>
      <c r="F231" s="22"/>
      <c r="G231" s="22"/>
      <c r="H231" s="22"/>
      <c r="I231" s="22"/>
      <c r="J231" s="24" t="n">
        <f aca="false">SUMIF($A$4:$A$230,"17",$J$4:$J$230)</f>
        <v>26300.7325</v>
      </c>
      <c r="K231" s="22"/>
      <c r="L231" s="22"/>
      <c r="M231" s="22"/>
      <c r="N231" s="2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5" hidden="false" customHeight="false" outlineLevel="0" collapsed="false">
      <c r="A233" s="17"/>
      <c r="B233" s="17"/>
      <c r="C233" s="18" t="s">
        <v>439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customFormat="false" ht="15" hidden="false" customHeight="false" outlineLevel="0" collapsed="false">
      <c r="A234" s="2" t="s">
        <v>79</v>
      </c>
      <c r="B234" s="2" t="n">
        <v>1</v>
      </c>
      <c r="C234" s="19" t="s">
        <v>440</v>
      </c>
      <c r="D234" s="2" t="s">
        <v>159</v>
      </c>
      <c r="E234" s="20" t="n">
        <v>1</v>
      </c>
      <c r="F234" s="9" t="n">
        <v>15000</v>
      </c>
      <c r="G234" s="2" t="s">
        <v>130</v>
      </c>
      <c r="H234" s="2" t="s">
        <v>131</v>
      </c>
      <c r="I234" s="4" t="n">
        <f aca="false">F234*VLOOKUP(IF(G234="ر.س","SAR",G234),المدخلات!$A$4:$B$9,2,FALSE())*IF(H234="نعم",المدخلات!$B$11,1)</f>
        <v>15000</v>
      </c>
      <c r="J234" s="4" t="n">
        <f aca="false">E234*I234</f>
        <v>15000</v>
      </c>
      <c r="K234" s="2" t="s">
        <v>32</v>
      </c>
      <c r="L234" s="2" t="s">
        <v>27</v>
      </c>
      <c r="M234" s="19" t="s">
        <v>150</v>
      </c>
      <c r="N234" s="2"/>
    </row>
    <row r="235" customFormat="false" ht="26.85" hidden="false" customHeight="false" outlineLevel="0" collapsed="false">
      <c r="A235" s="2" t="s">
        <v>79</v>
      </c>
      <c r="B235" s="2" t="n">
        <v>2</v>
      </c>
      <c r="C235" s="19" t="s">
        <v>441</v>
      </c>
      <c r="D235" s="2" t="s">
        <v>159</v>
      </c>
      <c r="E235" s="20" t="n">
        <v>1</v>
      </c>
      <c r="F235" s="9" t="n">
        <v>1200</v>
      </c>
      <c r="G235" s="2" t="s">
        <v>130</v>
      </c>
      <c r="H235" s="2" t="s">
        <v>131</v>
      </c>
      <c r="I235" s="4" t="n">
        <f aca="false">F235*VLOOKUP(IF(G235="ر.س","SAR",G235),المدخلات!$A$4:$B$9,2,FALSE())*IF(H235="نعم",المدخلات!$B$11,1)</f>
        <v>1200</v>
      </c>
      <c r="J235" s="4" t="n">
        <f aca="false">E235*I235</f>
        <v>1200</v>
      </c>
      <c r="K235" s="2" t="s">
        <v>32</v>
      </c>
      <c r="L235" s="2" t="s">
        <v>26</v>
      </c>
      <c r="M235" s="19" t="s">
        <v>442</v>
      </c>
      <c r="N235" s="2" t="s">
        <v>443</v>
      </c>
    </row>
    <row r="236" customFormat="false" ht="15" hidden="false" customHeight="false" outlineLevel="0" collapsed="false">
      <c r="A236" s="2" t="s">
        <v>79</v>
      </c>
      <c r="B236" s="2" t="n">
        <v>3</v>
      </c>
      <c r="C236" s="19" t="s">
        <v>444</v>
      </c>
      <c r="D236" s="2" t="s">
        <v>159</v>
      </c>
      <c r="E236" s="20" t="n">
        <v>1</v>
      </c>
      <c r="F236" s="9" t="n">
        <v>2500</v>
      </c>
      <c r="G236" s="2" t="s">
        <v>130</v>
      </c>
      <c r="H236" s="2" t="s">
        <v>131</v>
      </c>
      <c r="I236" s="4" t="n">
        <f aca="false">F236*VLOOKUP(IF(G236="ر.س","SAR",G236),المدخلات!$A$4:$B$9,2,FALSE())*IF(H236="نعم",المدخلات!$B$11,1)</f>
        <v>2500</v>
      </c>
      <c r="J236" s="4" t="n">
        <f aca="false">E236*I236</f>
        <v>2500</v>
      </c>
      <c r="K236" s="2" t="s">
        <v>32</v>
      </c>
      <c r="L236" s="2" t="s">
        <v>27</v>
      </c>
      <c r="M236" s="19" t="s">
        <v>150</v>
      </c>
      <c r="N236" s="2"/>
    </row>
    <row r="237" customFormat="false" ht="15" hidden="false" customHeight="false" outlineLevel="0" collapsed="false">
      <c r="A237" s="2" t="s">
        <v>79</v>
      </c>
      <c r="B237" s="2" t="n">
        <v>4</v>
      </c>
      <c r="C237" s="19" t="s">
        <v>445</v>
      </c>
      <c r="D237" s="2" t="s">
        <v>159</v>
      </c>
      <c r="E237" s="20" t="n">
        <v>1</v>
      </c>
      <c r="F237" s="9" t="n">
        <v>2500</v>
      </c>
      <c r="G237" s="2" t="s">
        <v>130</v>
      </c>
      <c r="H237" s="2" t="s">
        <v>131</v>
      </c>
      <c r="I237" s="4" t="n">
        <f aca="false">F237*VLOOKUP(IF(G237="ر.س","SAR",G237),المدخلات!$A$4:$B$9,2,FALSE())*IF(H237="نعم",المدخلات!$B$11,1)</f>
        <v>2500</v>
      </c>
      <c r="J237" s="4" t="n">
        <f aca="false">E237*I237</f>
        <v>2500</v>
      </c>
      <c r="K237" s="2" t="s">
        <v>32</v>
      </c>
      <c r="L237" s="2" t="s">
        <v>27</v>
      </c>
      <c r="M237" s="19" t="s">
        <v>150</v>
      </c>
      <c r="N237" s="2"/>
    </row>
    <row r="238" customFormat="false" ht="15" hidden="false" customHeight="false" outlineLevel="0" collapsed="false">
      <c r="A238" s="2" t="s">
        <v>79</v>
      </c>
      <c r="B238" s="2" t="n">
        <v>5</v>
      </c>
      <c r="C238" s="19" t="s">
        <v>446</v>
      </c>
      <c r="D238" s="2" t="s">
        <v>159</v>
      </c>
      <c r="E238" s="20" t="n">
        <v>1</v>
      </c>
      <c r="F238" s="9" t="n">
        <v>2500</v>
      </c>
      <c r="G238" s="2" t="s">
        <v>130</v>
      </c>
      <c r="H238" s="2" t="s">
        <v>131</v>
      </c>
      <c r="I238" s="4" t="n">
        <f aca="false">F238*VLOOKUP(IF(G238="ر.س","SAR",G238),المدخلات!$A$4:$B$9,2,FALSE())*IF(H238="نعم",المدخلات!$B$11,1)</f>
        <v>2500</v>
      </c>
      <c r="J238" s="4" t="n">
        <f aca="false">E238*I238</f>
        <v>2500</v>
      </c>
      <c r="K238" s="2" t="s">
        <v>32</v>
      </c>
      <c r="L238" s="2" t="s">
        <v>27</v>
      </c>
      <c r="M238" s="19" t="s">
        <v>150</v>
      </c>
      <c r="N238" s="2"/>
    </row>
    <row r="239" customFormat="false" ht="15" hidden="false" customHeight="false" outlineLevel="0" collapsed="false">
      <c r="A239" s="22"/>
      <c r="B239" s="22"/>
      <c r="C239" s="23" t="s">
        <v>447</v>
      </c>
      <c r="D239" s="22"/>
      <c r="E239" s="22"/>
      <c r="F239" s="22"/>
      <c r="G239" s="22"/>
      <c r="H239" s="22"/>
      <c r="I239" s="22"/>
      <c r="J239" s="24" t="n">
        <f aca="false">SUMIF($A$4:$A$238,"18",$J$4:$J$238)</f>
        <v>23700</v>
      </c>
      <c r="K239" s="22"/>
      <c r="L239" s="22"/>
      <c r="M239" s="22"/>
      <c r="N239" s="2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5" hidden="false" customHeight="false" outlineLevel="0" collapsed="false">
      <c r="A241" s="2"/>
      <c r="B241" s="2"/>
      <c r="C241" s="6" t="s">
        <v>448</v>
      </c>
      <c r="D241" s="2"/>
      <c r="E241" s="2"/>
      <c r="F241" s="2"/>
      <c r="G241" s="2"/>
      <c r="H241" s="2"/>
      <c r="I241" s="2"/>
      <c r="J241" s="7" t="n">
        <f aca="false">SUMPRODUCT(($A$4:$A$240&lt;&gt;"")*$J$4:$J$240)</f>
        <v>830892.596011113</v>
      </c>
      <c r="K241" s="2"/>
      <c r="L241" s="2"/>
      <c r="M241" s="2"/>
      <c r="N241" s="2"/>
    </row>
  </sheetData>
  <autoFilter ref="A3:N240"/>
  <hyperlinks>
    <hyperlink ref="N5" r:id="rId1" display="https://new.aisusteel.org/archives/3349"/>
    <hyperlink ref="N6" r:id="rId2" display="https://saudiarabia.paylab.com/salaryinfo/mechanical-engineering/welder"/>
    <hyperlink ref="N7" r:id="rId3" display="https://saudiarabia.paylab.com/salaryinfo/mechanical-engineering/welder"/>
    <hyperlink ref="N13" r:id="rId4" display="https://semitrailers.net/shop/jost-complete-landing-gear-set-model-a400-g-19/"/>
    <hyperlink ref="N22" r:id="rId5" display="https://new.aisusteel.org/archives/3349"/>
    <hyperlink ref="N23" r:id="rId6" display="https://www.alibaba.com/product-insights/sandwich-panel-price-in-saudi.html"/>
    <hyperlink ref="N24" r:id="rId7" display="https://www.madar.com/en_SA/rockwool-slab-50-x-600-x-1200mm-100kg-m3.html"/>
    <hyperlink ref="N33" r:id="rId8" display="https://saudiarabia.paylab.com/salaryinfo/mechanical-engineering/welder"/>
    <hyperlink ref="N34" r:id="rId9" display="https://saudiarabia.paylab.com/salaryinfo/mechanical-engineering/welder"/>
    <hyperlink ref="N47" r:id="rId10" display="https://saudiarabia.paylab.com/salaryinfo/mechanical-engineering/welder"/>
    <hyperlink ref="N51" r:id="rId11" display="https://www.consumeraffairs.com/automotive/scooter-lifts/"/>
    <hyperlink ref="N52" r:id="rId12" display="https://saudiarabia.paylab.com/salaryinfo/mechanical-engineering/welder"/>
    <hyperlink ref="N58" r:id="rId13" display="https://www.floorworld.com/blog-flooring-ideas-expert-advice/2017/august/homogeneous-heterogeneous-sheet-vinyl-flooring/"/>
    <hyperlink ref="N70" r:id="rId14" display="https://saudiarabia.paylab.com/salaryinfo/mechanical-engineering/welder"/>
    <hyperlink ref="N74" r:id="rId15" display="https://pioneerminisplit.com/products/pioneer-13-500-btu-full-inverter-rooftop-rv-air-conditioner-heat-pump-115v"/>
    <hyperlink ref="N76" r:id="rId16" display="https://www.capsulaa.sa/saudi-arabia-services/أسعار-مكيفات-جري-سبليت-في-السعودية/"/>
    <hyperlink ref="N78" r:id="rId17" display="https://www.deltaww.com/en-US/products/cooling-telecom-power-systems/TCAC-1850-Series"/>
    <hyperlink ref="N83" r:id="rId18" display="https://saudiarabia.paylab.com/salaryinfo/mechanical-engineering/welder"/>
    <hyperlink ref="N90" r:id="rId19" display="https://dometic.com/en-us/outdoor/boat/boat-toilets/dometic-vacuflush-5009-75035"/>
    <hyperlink ref="N91" r:id="rId20" display="https://www.dometic.com/en-ca/product/dometic-pump-sw12-9108554750"/>
    <hyperlink ref="N100" r:id="rId21" display="https://saudiarabia.paylab.com/salaryinfo/mechanical-engineering/welder"/>
    <hyperlink ref="N101" r:id="rId22" display="https://saudiarabia.paylab.com/salaryinfo/mechanical-engineering/welder"/>
    <hyperlink ref="N119" r:id="rId23" display="https://saudiarabia.paylab.com/salaryinfo/mechanical-engineering/welder"/>
    <hyperlink ref="N120" r:id="rId24" display="https://saudiarabia.paylab.com/salaryinfo/mechanical-engineering/welder"/>
    <hyperlink ref="N124" r:id="rId25" display="https://autosolar.es/generadores-diesel/generador-diesel-electrico-53-kw-s65000-conn-dpp-monofasico-pramac"/>
    <hyperlink ref="N128" r:id="rId26" display="https://saudiarabia.paylab.com/salaryinfo/mechanical-engineering/welder"/>
    <hyperlink ref="N132" r:id="rId27" display="https://www.solar-electric.com/victron-energy-quattro-inverter-48-10000-140-230vac.html"/>
    <hyperlink ref="N133" r:id="rId28" display="https://muhammed.portlandiaelectric.supply/products/ruixu-lithi2-16-51-2v-314ah-16kwh-lifepo4-battery"/>
    <hyperlink ref="N135" r:id="rId29" display="https://www.wattuneed.com/fr/controleurs-de-charge-victron/25806-victron-cerbo-gx-centre-de-communication-et-de-supervision-0768563819339.html"/>
    <hyperlink ref="N136" r:id="rId30" display="https://signaturesolar.com/victron-energy/?page=2"/>
    <hyperlink ref="N137" r:id="rId31" display="https://ebay.com/usr/lithium_upgrade"/>
    <hyperlink ref="N138" r:id="rId32" display="https://www.ebay.co.uk/str/meadotechcontrols"/>
    <hyperlink ref="N140" r:id="rId33" display="https://navstore.com/collections/victron-energy"/>
    <hyperlink ref="N144" r:id="rId34" display="https://saudiarabia.paylab.com/salaryinfo/mechanical-engineering/welder"/>
    <hyperlink ref="N149" r:id="rId35" display="https://lifepo4.com.au/shop/solar/solarcharrgecontrollers/victron-solarchargecontrollers/victron-smartsolar-mppt-250-60-tr"/>
    <hyperlink ref="N150" r:id="rId36" display="https://store.solarcellzusa.com/products/tigo-energy-ts4-a-f-rapid-shutdown-receiver"/>
    <hyperlink ref="N156" r:id="rId37" display="https://saudiarabia.paylab.com/salaryinfo/mechanical-engineering/welder"/>
    <hyperlink ref="N160" r:id="rId38" display="https://eshop.se.com/sa/apc-smart-ups-on-line-1500va-1500w-tower-230v-6x-c13-iec-outlets-smartslot-extended-runtime-w-o-rail-kit-srt1500xli.html"/>
    <hyperlink ref="N168" r:id="rId39" display="https://datacenter360.ca/store/?p=21334"/>
    <hyperlink ref="N169" r:id="rId40" display="https://www.shi.com/Product/40716112"/>
    <hyperlink ref="N170" r:id="rId41" display="https://serverroomenvironments.co.uk/teltonika-rutx50-industrial-5g-routers"/>
    <hyperlink ref="N172" r:id="rId42" display="https://satspeedcheck.com/cost/saudi-arabia/"/>
    <hyperlink ref="N173" r:id="rId43" display="https://www.hummingbirdnetworks.com/cw9176-series-1/"/>
    <hyperlink ref="N174" r:id="rId44" display="https://store.ibtikar.com.sa/en/product/hikvision-ds-7608ni-q1/"/>
    <hyperlink ref="N178" r:id="rId45" display="https://id-enhancements.com/zkteco-atlas460-four-door-atlas-series-access-control-panel"/>
    <hyperlink ref="N179" r:id="rId46" display="https://neotech.ae/products/zkteco-kr502e-proximity-with-keypad-access-card-reader"/>
    <hyperlink ref="N187" r:id="rId47" display="https://saudiarabia.paylab.com/salaryinfo/mechanical-engineering/welder"/>
    <hyperlink ref="N192" r:id="rId48" display="https://www.carrefouruae.com/mafuae/en/educational/oscar-queue-management-system-for-2-counters-with-main-display/p/6970961140692"/>
    <hyperlink ref="N195" r:id="rId49" display="https://uae.sharafdg.com/ar/?p=5250236"/>
    <hyperlink ref="N197" r:id="rId50" display="https://store.ibtikar.com.sa/en/product-tag/intel-ultra-7-155u/"/>
    <hyperlink ref="N199" r:id="rId51" display="https://www.hp.com/sa-ar/shop/printers/business-printers/color-laserjets.html"/>
    <hyperlink ref="N204" r:id="rId52" display="https://dynamo-led-displays.co.uk/how-much-led-display-cost/"/>
    <hyperlink ref="N208" r:id="rId53" display="https://saudiarabia.paylab.com/salaryinfo/mechanical-engineering/welder"/>
    <hyperlink ref="N215" r:id="rId54" display="https://www.safelincs.co.uk/cfp-alarmsense-4-zone-fire-alarm-panel"/>
    <hyperlink ref="N219" r:id="rId55" display="https://www.firesupplies.ae/product/mega-safety-2-kg-co2-fire-extinguisher/"/>
    <hyperlink ref="N227" r:id="rId56" display="https://www.manomano.co.uk/p/greenbay-sun-shade-retractable-canopy-full-cassette-electric-awning-35x25m-wine-red-70286331"/>
    <hyperlink ref="N228" r:id="rId57" display="https://bunnings.com.au/_p0557764"/>
    <hyperlink ref="N235" r:id="rId58" display="https://ksa.motory.com/ar/%D8%A7%D9%84%D8%A7%D8%AE%D8%A8%D8%A7%D8%B1/%D9%81%D8%AD%D8%B5-%D9%81%D9%86%D9%8A-%D8%AF%D9%88%D8%B1%D9%8A-%D8%B3%D9%8A%D8%A7%D8%B1%D8%A7%D8%AA-%D8%A7%D9%84%D8%B3%D8%B9%D9%88%D8%AF%D9%8A%D8%A9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36</v>
      </c>
      <c r="B3" s="3" t="s">
        <v>449</v>
      </c>
      <c r="C3" s="3" t="s">
        <v>450</v>
      </c>
      <c r="D3" s="3" t="s">
        <v>451</v>
      </c>
      <c r="E3" s="3" t="s">
        <v>452</v>
      </c>
      <c r="F3" s="3" t="s">
        <v>124</v>
      </c>
    </row>
    <row r="4" customFormat="false" ht="15" hidden="false" customHeight="false" outlineLevel="0" collapsed="false">
      <c r="A4" s="2" t="s">
        <v>453</v>
      </c>
      <c r="B4" s="10" t="n">
        <v>0.5</v>
      </c>
      <c r="C4" s="10" t="n">
        <v>18000</v>
      </c>
      <c r="D4" s="25" t="n">
        <f aca="false">المدخلات!$B$16</f>
        <v>3</v>
      </c>
      <c r="E4" s="2"/>
      <c r="F4" s="11" t="n">
        <f aca="false">IF(E4&lt;&gt;"",E4,B4*C4*D4)</f>
        <v>27000</v>
      </c>
    </row>
    <row r="5" customFormat="false" ht="15" hidden="false" customHeight="false" outlineLevel="0" collapsed="false">
      <c r="A5" s="2" t="s">
        <v>454</v>
      </c>
      <c r="B5" s="10" t="n">
        <v>1</v>
      </c>
      <c r="C5" s="10" t="n">
        <v>12000</v>
      </c>
      <c r="D5" s="25" t="n">
        <f aca="false">المدخلات!$B$16</f>
        <v>3</v>
      </c>
      <c r="E5" s="2"/>
      <c r="F5" s="11" t="n">
        <f aca="false">IF(E5&lt;&gt;"",E5,B5*C5*D5)</f>
        <v>36000</v>
      </c>
    </row>
    <row r="6" customFormat="false" ht="15" hidden="false" customHeight="false" outlineLevel="0" collapsed="false">
      <c r="A6" s="2" t="s">
        <v>455</v>
      </c>
      <c r="B6" s="10" t="n">
        <v>0.5</v>
      </c>
      <c r="C6" s="10" t="n">
        <v>8000</v>
      </c>
      <c r="D6" s="25" t="n">
        <f aca="false">المدخلات!$B$16</f>
        <v>3</v>
      </c>
      <c r="E6" s="2"/>
      <c r="F6" s="11" t="n">
        <f aca="false">IF(E6&lt;&gt;"",E6,B6*C6*D6)</f>
        <v>12000</v>
      </c>
    </row>
    <row r="7" customFormat="false" ht="15" hidden="false" customHeight="false" outlineLevel="0" collapsed="false">
      <c r="A7" s="2" t="s">
        <v>456</v>
      </c>
      <c r="B7" s="10" t="n">
        <v>0.5</v>
      </c>
      <c r="C7" s="10" t="n">
        <v>7000</v>
      </c>
      <c r="D7" s="25" t="n">
        <f aca="false">المدخلات!$B$16</f>
        <v>3</v>
      </c>
      <c r="E7" s="2"/>
      <c r="F7" s="11" t="n">
        <f aca="false">IF(E7&lt;&gt;"",E7,B7*C7*D7)</f>
        <v>10500</v>
      </c>
    </row>
    <row r="8" customFormat="false" ht="15" hidden="false" customHeight="false" outlineLevel="0" collapsed="false">
      <c r="A8" s="2" t="s">
        <v>457</v>
      </c>
      <c r="B8" s="10" t="n">
        <v>1</v>
      </c>
      <c r="C8" s="10" t="n">
        <v>6000</v>
      </c>
      <c r="D8" s="25" t="n">
        <f aca="false">المدخلات!$B$16</f>
        <v>3</v>
      </c>
      <c r="E8" s="2"/>
      <c r="F8" s="11" t="n">
        <f aca="false">IF(E8&lt;&gt;"",E8,B8*C8*D8)</f>
        <v>18000</v>
      </c>
    </row>
    <row r="9" customFormat="false" ht="15" hidden="false" customHeight="false" outlineLevel="0" collapsed="false">
      <c r="A9" s="2" t="s">
        <v>458</v>
      </c>
      <c r="B9" s="2"/>
      <c r="C9" s="2"/>
      <c r="D9" s="2"/>
      <c r="E9" s="10" t="n">
        <v>3000</v>
      </c>
      <c r="F9" s="11" t="n">
        <f aca="false">IF(E9&lt;&gt;"",E9,B9*C9*D9)</f>
        <v>3000</v>
      </c>
    </row>
    <row r="10" customFormat="false" ht="15" hidden="false" customHeight="false" outlineLevel="0" collapsed="false">
      <c r="A10" s="2" t="s">
        <v>459</v>
      </c>
      <c r="B10" s="2"/>
      <c r="C10" s="2"/>
      <c r="D10" s="2"/>
      <c r="E10" s="10" t="n">
        <v>6000</v>
      </c>
      <c r="F10" s="11" t="n">
        <f aca="false">IF(E10&lt;&gt;"",E10,B10*C10*D10)</f>
        <v>6000</v>
      </c>
    </row>
    <row r="11" customFormat="false" ht="15" hidden="false" customHeight="false" outlineLevel="0" collapsed="false">
      <c r="A11" s="6" t="s">
        <v>81</v>
      </c>
      <c r="B11" s="2"/>
      <c r="C11" s="2"/>
      <c r="D11" s="2"/>
      <c r="E11" s="2"/>
      <c r="F11" s="26" t="n">
        <f aca="false">SUM(F4:F10)</f>
        <v>112500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1" t="s">
        <v>460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461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462</v>
      </c>
      <c r="B3" s="8" t="n">
        <f aca="false">(1+المدخلات!$B$18+المدخلات!$B$19+المدخلات!$B$20+المدخلات!$B$21)*(1+المدخلات!$B$22)</f>
        <v>1.2485</v>
      </c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26.85" hidden="false" customHeight="false" outlineLevel="0" collapsed="false">
      <c r="A5" s="3" t="s">
        <v>36</v>
      </c>
      <c r="B5" s="3" t="s">
        <v>37</v>
      </c>
      <c r="C5" s="3" t="s">
        <v>118</v>
      </c>
      <c r="D5" s="3" t="s">
        <v>38</v>
      </c>
      <c r="E5" s="3" t="s">
        <v>463</v>
      </c>
      <c r="F5" s="3" t="s">
        <v>125</v>
      </c>
    </row>
    <row r="6" customFormat="false" ht="26.85" hidden="false" customHeight="false" outlineLevel="0" collapsed="false">
      <c r="A6" s="2" t="s">
        <v>464</v>
      </c>
      <c r="B6" s="19" t="s">
        <v>465</v>
      </c>
      <c r="C6" s="2" t="s">
        <v>159</v>
      </c>
      <c r="D6" s="11" t="n">
        <f aca="false">(4800-3112.5)*VLOOKUP("EUR",المدخلات!$A$4:$B$9,2,FALSE())*المدخلات!$B$11+2500</f>
        <v>10941.71875</v>
      </c>
      <c r="E6" s="11" t="n">
        <f aca="false">ROUND(D6*$B$3,0)</f>
        <v>13661</v>
      </c>
      <c r="F6" s="19" t="s">
        <v>466</v>
      </c>
    </row>
    <row r="7" customFormat="false" ht="15" hidden="false" customHeight="false" outlineLevel="0" collapsed="false">
      <c r="A7" s="2" t="s">
        <v>467</v>
      </c>
      <c r="B7" s="19" t="s">
        <v>468</v>
      </c>
      <c r="C7" s="2" t="s">
        <v>140</v>
      </c>
      <c r="D7" s="11" t="n">
        <f aca="false">(1900+250)*VLOOKUP("USD",المدخلات!$A$4:$B$9,2,FALSE())*المدخلات!$B$11+2*المدخلات!$B$13+600</f>
        <v>10631.875</v>
      </c>
      <c r="E7" s="11" t="n">
        <f aca="false">ROUND(D7*$B$3,0)</f>
        <v>13274</v>
      </c>
      <c r="F7" s="19" t="s">
        <v>469</v>
      </c>
    </row>
    <row r="8" customFormat="false" ht="15" hidden="false" customHeight="false" outlineLevel="0" collapsed="false">
      <c r="A8" s="2" t="s">
        <v>470</v>
      </c>
      <c r="B8" s="19" t="s">
        <v>471</v>
      </c>
      <c r="C8" s="2" t="s">
        <v>472</v>
      </c>
      <c r="D8" s="11" t="n">
        <v>0</v>
      </c>
      <c r="E8" s="11" t="n">
        <f aca="false">ROUND(D8*$B$3,0)</f>
        <v>0</v>
      </c>
      <c r="F8" s="19" t="s">
        <v>473</v>
      </c>
    </row>
    <row r="9" customFormat="false" ht="15" hidden="false" customHeight="false" outlineLevel="0" collapsed="false">
      <c r="A9" s="2" t="s">
        <v>474</v>
      </c>
      <c r="B9" s="19" t="s">
        <v>475</v>
      </c>
      <c r="C9" s="2" t="s">
        <v>140</v>
      </c>
      <c r="D9" s="11" t="n">
        <f aca="false">4296+150</f>
        <v>4446</v>
      </c>
      <c r="E9" s="11" t="n">
        <f aca="false">ROUND(D9*$B$3,0)</f>
        <v>5551</v>
      </c>
      <c r="F9" s="19" t="s">
        <v>476</v>
      </c>
    </row>
    <row r="10" customFormat="false" ht="15" hidden="false" customHeight="false" outlineLevel="0" collapsed="false">
      <c r="A10" s="2" t="s">
        <v>477</v>
      </c>
      <c r="B10" s="19" t="s">
        <v>478</v>
      </c>
      <c r="C10" s="2" t="s">
        <v>140</v>
      </c>
      <c r="D10" s="11" t="n">
        <f aca="false">1049/1.2*VLOOKUP("EUR",المدخلات!$A$4:$B$9,2,FALSE())</f>
        <v>3802.625</v>
      </c>
      <c r="E10" s="11" t="n">
        <f aca="false">ROUND(D10*$B$3,0)</f>
        <v>4748</v>
      </c>
      <c r="F10" s="19" t="s">
        <v>479</v>
      </c>
    </row>
    <row r="11" customFormat="false" ht="26.85" hidden="false" customHeight="false" outlineLevel="0" collapsed="false">
      <c r="A11" s="2" t="s">
        <v>480</v>
      </c>
      <c r="B11" s="19" t="s">
        <v>481</v>
      </c>
      <c r="C11" s="2" t="s">
        <v>140</v>
      </c>
      <c r="D11" s="11" t="n">
        <f aca="false">1505.37*VLOOKUP("USD",المدخلات!$A$4:$B$9,2,FALSE())*المدخلات!$B$11+300</f>
        <v>6791.908125</v>
      </c>
      <c r="E11" s="11" t="n">
        <f aca="false">ROUND(D11*$B$3,0)</f>
        <v>8480</v>
      </c>
      <c r="F11" s="19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50"/>
    <col collapsed="false" customWidth="true" hidden="false" outlineLevel="0" max="4" min="4" style="0" width="70"/>
  </cols>
  <sheetData>
    <row r="1" customFormat="false" ht="17.15" hidden="false" customHeight="false" outlineLevel="0" collapsed="false">
      <c r="A1" s="1" t="s">
        <v>483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36</v>
      </c>
      <c r="B3" s="3" t="s">
        <v>1</v>
      </c>
      <c r="C3" s="3" t="s">
        <v>484</v>
      </c>
      <c r="D3" s="3" t="s">
        <v>126</v>
      </c>
    </row>
    <row r="4" customFormat="false" ht="26.85" hidden="false" customHeight="false" outlineLevel="0" collapsed="false">
      <c r="A4" s="2" t="s">
        <v>45</v>
      </c>
      <c r="B4" s="19" t="s">
        <v>128</v>
      </c>
      <c r="C4" s="19" t="s">
        <v>132</v>
      </c>
      <c r="D4" s="2" t="s">
        <v>133</v>
      </c>
    </row>
    <row r="5" customFormat="false" ht="15" hidden="false" customHeight="false" outlineLevel="0" collapsed="false">
      <c r="A5" s="2" t="s">
        <v>45</v>
      </c>
      <c r="B5" s="19" t="s">
        <v>134</v>
      </c>
      <c r="C5" s="19" t="s">
        <v>136</v>
      </c>
      <c r="D5" s="2" t="s">
        <v>137</v>
      </c>
    </row>
    <row r="6" customFormat="false" ht="15" hidden="false" customHeight="false" outlineLevel="0" collapsed="false">
      <c r="A6" s="2" t="s">
        <v>45</v>
      </c>
      <c r="B6" s="19" t="s">
        <v>138</v>
      </c>
      <c r="C6" s="19" t="s">
        <v>136</v>
      </c>
      <c r="D6" s="2" t="s">
        <v>137</v>
      </c>
    </row>
    <row r="7" customFormat="false" ht="15" hidden="false" customHeight="false" outlineLevel="0" collapsed="false">
      <c r="A7" s="2" t="s">
        <v>45</v>
      </c>
      <c r="B7" s="19" t="s">
        <v>151</v>
      </c>
      <c r="C7" s="19" t="s">
        <v>152</v>
      </c>
      <c r="D7" s="2" t="s">
        <v>153</v>
      </c>
    </row>
    <row r="8" customFormat="false" ht="26.85" hidden="false" customHeight="false" outlineLevel="0" collapsed="false">
      <c r="A8" s="2" t="s">
        <v>47</v>
      </c>
      <c r="B8" s="19" t="s">
        <v>162</v>
      </c>
      <c r="C8" s="19" t="s">
        <v>163</v>
      </c>
      <c r="D8" s="2" t="s">
        <v>133</v>
      </c>
    </row>
    <row r="9" customFormat="false" ht="26.85" hidden="false" customHeight="false" outlineLevel="0" collapsed="false">
      <c r="A9" s="2" t="s">
        <v>47</v>
      </c>
      <c r="B9" s="19" t="s">
        <v>164</v>
      </c>
      <c r="C9" s="19" t="s">
        <v>166</v>
      </c>
      <c r="D9" s="2" t="s">
        <v>167</v>
      </c>
    </row>
    <row r="10" customFormat="false" ht="15" hidden="false" customHeight="false" outlineLevel="0" collapsed="false">
      <c r="A10" s="2" t="s">
        <v>47</v>
      </c>
      <c r="B10" s="19" t="s">
        <v>168</v>
      </c>
      <c r="C10" s="19" t="s">
        <v>169</v>
      </c>
      <c r="D10" s="2" t="s">
        <v>170</v>
      </c>
    </row>
    <row r="11" customFormat="false" ht="15" hidden="false" customHeight="false" outlineLevel="0" collapsed="false">
      <c r="A11" s="2" t="s">
        <v>47</v>
      </c>
      <c r="B11" s="19" t="s">
        <v>181</v>
      </c>
      <c r="C11" s="19" t="s">
        <v>182</v>
      </c>
      <c r="D11" s="2" t="s">
        <v>137</v>
      </c>
    </row>
    <row r="12" customFormat="false" ht="15" hidden="false" customHeight="false" outlineLevel="0" collapsed="false">
      <c r="A12" s="2" t="s">
        <v>47</v>
      </c>
      <c r="B12" s="19" t="s">
        <v>183</v>
      </c>
      <c r="C12" s="19" t="s">
        <v>182</v>
      </c>
      <c r="D12" s="2" t="s">
        <v>137</v>
      </c>
    </row>
    <row r="13" customFormat="false" ht="15" hidden="false" customHeight="false" outlineLevel="0" collapsed="false">
      <c r="A13" s="2" t="s">
        <v>49</v>
      </c>
      <c r="B13" s="19" t="s">
        <v>195</v>
      </c>
      <c r="C13" s="19" t="s">
        <v>182</v>
      </c>
      <c r="D13" s="2" t="s">
        <v>137</v>
      </c>
    </row>
    <row r="14" customFormat="false" ht="26.85" hidden="false" customHeight="false" outlineLevel="0" collapsed="false">
      <c r="A14" s="2" t="s">
        <v>51</v>
      </c>
      <c r="B14" s="19" t="s">
        <v>198</v>
      </c>
      <c r="C14" s="19" t="s">
        <v>199</v>
      </c>
      <c r="D14" s="2" t="s">
        <v>200</v>
      </c>
    </row>
    <row r="15" customFormat="false" ht="15" hidden="false" customHeight="false" outlineLevel="0" collapsed="false">
      <c r="A15" s="2" t="s">
        <v>51</v>
      </c>
      <c r="B15" s="19" t="s">
        <v>201</v>
      </c>
      <c r="C15" s="19" t="s">
        <v>182</v>
      </c>
      <c r="D15" s="2" t="s">
        <v>137</v>
      </c>
    </row>
    <row r="16" customFormat="false" ht="26.85" hidden="false" customHeight="false" outlineLevel="0" collapsed="false">
      <c r="A16" s="2" t="s">
        <v>53</v>
      </c>
      <c r="B16" s="19" t="s">
        <v>206</v>
      </c>
      <c r="C16" s="19" t="s">
        <v>207</v>
      </c>
      <c r="D16" s="2" t="s">
        <v>208</v>
      </c>
    </row>
    <row r="17" customFormat="false" ht="15" hidden="false" customHeight="false" outlineLevel="0" collapsed="false">
      <c r="A17" s="2" t="s">
        <v>53</v>
      </c>
      <c r="B17" s="19" t="s">
        <v>220</v>
      </c>
      <c r="C17" s="19" t="s">
        <v>182</v>
      </c>
      <c r="D17" s="2" t="s">
        <v>137</v>
      </c>
    </row>
    <row r="18" customFormat="false" ht="26.85" hidden="false" customHeight="false" outlineLevel="0" collapsed="false">
      <c r="A18" s="2" t="s">
        <v>55</v>
      </c>
      <c r="B18" s="19" t="s">
        <v>223</v>
      </c>
      <c r="C18" s="19" t="s">
        <v>224</v>
      </c>
      <c r="D18" s="2" t="s">
        <v>225</v>
      </c>
    </row>
    <row r="19" customFormat="false" ht="26.85" hidden="false" customHeight="false" outlineLevel="0" collapsed="false">
      <c r="A19" s="2" t="s">
        <v>55</v>
      </c>
      <c r="B19" s="19" t="s">
        <v>227</v>
      </c>
      <c r="C19" s="19" t="s">
        <v>228</v>
      </c>
      <c r="D19" s="2" t="s">
        <v>229</v>
      </c>
    </row>
    <row r="20" customFormat="false" ht="15" hidden="false" customHeight="false" outlineLevel="0" collapsed="false">
      <c r="A20" s="2" t="s">
        <v>55</v>
      </c>
      <c r="B20" s="19" t="s">
        <v>231</v>
      </c>
      <c r="C20" s="19" t="s">
        <v>232</v>
      </c>
      <c r="D20" s="2" t="s">
        <v>233</v>
      </c>
    </row>
    <row r="21" customFormat="false" ht="15" hidden="false" customHeight="false" outlineLevel="0" collapsed="false">
      <c r="A21" s="2" t="s">
        <v>55</v>
      </c>
      <c r="B21" s="19" t="s">
        <v>238</v>
      </c>
      <c r="C21" s="19" t="s">
        <v>182</v>
      </c>
      <c r="D21" s="2" t="s">
        <v>137</v>
      </c>
    </row>
    <row r="22" customFormat="false" ht="15" hidden="false" customHeight="false" outlineLevel="0" collapsed="false">
      <c r="A22" s="2" t="s">
        <v>57</v>
      </c>
      <c r="B22" s="19" t="s">
        <v>245</v>
      </c>
      <c r="C22" s="19" t="s">
        <v>246</v>
      </c>
      <c r="D22" s="2" t="s">
        <v>247</v>
      </c>
    </row>
    <row r="23" customFormat="false" ht="15" hidden="false" customHeight="false" outlineLevel="0" collapsed="false">
      <c r="A23" s="2" t="s">
        <v>57</v>
      </c>
      <c r="B23" s="19" t="s">
        <v>248</v>
      </c>
      <c r="C23" s="19" t="s">
        <v>246</v>
      </c>
      <c r="D23" s="2" t="s">
        <v>249</v>
      </c>
    </row>
    <row r="24" customFormat="false" ht="15" hidden="false" customHeight="false" outlineLevel="0" collapsed="false">
      <c r="A24" s="2" t="s">
        <v>57</v>
      </c>
      <c r="B24" s="19" t="s">
        <v>259</v>
      </c>
      <c r="C24" s="19" t="s">
        <v>182</v>
      </c>
      <c r="D24" s="2" t="s">
        <v>137</v>
      </c>
    </row>
    <row r="25" customFormat="false" ht="15" hidden="false" customHeight="false" outlineLevel="0" collapsed="false">
      <c r="A25" s="2" t="s">
        <v>57</v>
      </c>
      <c r="B25" s="19" t="s">
        <v>260</v>
      </c>
      <c r="C25" s="19" t="s">
        <v>182</v>
      </c>
      <c r="D25" s="2" t="s">
        <v>137</v>
      </c>
    </row>
    <row r="26" customFormat="false" ht="15" hidden="false" customHeight="false" outlineLevel="0" collapsed="false">
      <c r="A26" s="2" t="s">
        <v>59</v>
      </c>
      <c r="B26" s="19" t="s">
        <v>277</v>
      </c>
      <c r="C26" s="19" t="s">
        <v>182</v>
      </c>
      <c r="D26" s="2" t="s">
        <v>137</v>
      </c>
    </row>
    <row r="27" customFormat="false" ht="15" hidden="false" customHeight="false" outlineLevel="0" collapsed="false">
      <c r="A27" s="2" t="s">
        <v>59</v>
      </c>
      <c r="B27" s="19" t="s">
        <v>278</v>
      </c>
      <c r="C27" s="19" t="s">
        <v>182</v>
      </c>
      <c r="D27" s="2" t="s">
        <v>137</v>
      </c>
    </row>
    <row r="28" customFormat="false" ht="26.85" hidden="false" customHeight="false" outlineLevel="0" collapsed="false">
      <c r="A28" s="2" t="s">
        <v>61</v>
      </c>
      <c r="B28" s="19" t="s">
        <v>281</v>
      </c>
      <c r="C28" s="19" t="s">
        <v>282</v>
      </c>
      <c r="D28" s="2" t="s">
        <v>283</v>
      </c>
    </row>
    <row r="29" customFormat="false" ht="15" hidden="false" customHeight="false" outlineLevel="0" collapsed="false">
      <c r="A29" s="2" t="s">
        <v>61</v>
      </c>
      <c r="B29" s="19" t="s">
        <v>287</v>
      </c>
      <c r="C29" s="19" t="s">
        <v>182</v>
      </c>
      <c r="D29" s="2" t="s">
        <v>137</v>
      </c>
    </row>
    <row r="30" customFormat="false" ht="15" hidden="false" customHeight="false" outlineLevel="0" collapsed="false">
      <c r="A30" s="2" t="s">
        <v>63</v>
      </c>
      <c r="B30" s="19" t="s">
        <v>290</v>
      </c>
      <c r="C30" s="19" t="s">
        <v>291</v>
      </c>
      <c r="D30" s="2" t="s">
        <v>292</v>
      </c>
    </row>
    <row r="31" customFormat="false" ht="26.85" hidden="false" customHeight="false" outlineLevel="0" collapsed="false">
      <c r="A31" s="2" t="s">
        <v>63</v>
      </c>
      <c r="B31" s="19" t="s">
        <v>293</v>
      </c>
      <c r="C31" s="19" t="s">
        <v>294</v>
      </c>
      <c r="D31" s="2" t="s">
        <v>295</v>
      </c>
    </row>
    <row r="32" customFormat="false" ht="15" hidden="false" customHeight="false" outlineLevel="0" collapsed="false">
      <c r="A32" s="2" t="s">
        <v>63</v>
      </c>
      <c r="B32" s="19" t="s">
        <v>297</v>
      </c>
      <c r="C32" s="19" t="s">
        <v>298</v>
      </c>
      <c r="D32" s="2" t="s">
        <v>299</v>
      </c>
    </row>
    <row r="33" customFormat="false" ht="15" hidden="false" customHeight="false" outlineLevel="0" collapsed="false">
      <c r="A33" s="2" t="s">
        <v>63</v>
      </c>
      <c r="B33" s="19" t="s">
        <v>300</v>
      </c>
      <c r="C33" s="19" t="s">
        <v>301</v>
      </c>
      <c r="D33" s="2" t="s">
        <v>302</v>
      </c>
    </row>
    <row r="34" customFormat="false" ht="15" hidden="false" customHeight="false" outlineLevel="0" collapsed="false">
      <c r="A34" s="2" t="s">
        <v>63</v>
      </c>
      <c r="B34" s="19" t="s">
        <v>303</v>
      </c>
      <c r="C34" s="19" t="s">
        <v>304</v>
      </c>
      <c r="D34" s="2" t="s">
        <v>305</v>
      </c>
    </row>
    <row r="35" customFormat="false" ht="15" hidden="false" customHeight="false" outlineLevel="0" collapsed="false">
      <c r="A35" s="2" t="s">
        <v>63</v>
      </c>
      <c r="B35" s="19" t="s">
        <v>306</v>
      </c>
      <c r="C35" s="19" t="s">
        <v>307</v>
      </c>
      <c r="D35" s="2" t="s">
        <v>308</v>
      </c>
    </row>
    <row r="36" customFormat="false" ht="15" hidden="false" customHeight="false" outlineLevel="0" collapsed="false">
      <c r="A36" s="2" t="s">
        <v>63</v>
      </c>
      <c r="B36" s="19" t="s">
        <v>310</v>
      </c>
      <c r="C36" s="19" t="s">
        <v>311</v>
      </c>
      <c r="D36" s="2" t="s">
        <v>312</v>
      </c>
    </row>
    <row r="37" customFormat="false" ht="15" hidden="false" customHeight="false" outlineLevel="0" collapsed="false">
      <c r="A37" s="2" t="s">
        <v>63</v>
      </c>
      <c r="B37" s="19" t="s">
        <v>316</v>
      </c>
      <c r="C37" s="19" t="s">
        <v>182</v>
      </c>
      <c r="D37" s="2" t="s">
        <v>137</v>
      </c>
    </row>
    <row r="38" customFormat="false" ht="15" hidden="false" customHeight="false" outlineLevel="0" collapsed="false">
      <c r="A38" s="2" t="s">
        <v>65</v>
      </c>
      <c r="B38" s="19" t="s">
        <v>320</v>
      </c>
      <c r="C38" s="19" t="s">
        <v>321</v>
      </c>
      <c r="D38" s="2" t="s">
        <v>322</v>
      </c>
    </row>
    <row r="39" customFormat="false" ht="15" hidden="false" customHeight="false" outlineLevel="0" collapsed="false">
      <c r="A39" s="2" t="s">
        <v>65</v>
      </c>
      <c r="B39" s="19" t="s">
        <v>323</v>
      </c>
      <c r="C39" s="19" t="s">
        <v>324</v>
      </c>
      <c r="D39" s="2" t="s">
        <v>325</v>
      </c>
    </row>
    <row r="40" customFormat="false" ht="15" hidden="false" customHeight="false" outlineLevel="0" collapsed="false">
      <c r="A40" s="2" t="s">
        <v>65</v>
      </c>
      <c r="B40" s="19" t="s">
        <v>331</v>
      </c>
      <c r="C40" s="19" t="s">
        <v>182</v>
      </c>
      <c r="D40" s="2" t="s">
        <v>137</v>
      </c>
    </row>
    <row r="41" customFormat="false" ht="15" hidden="false" customHeight="false" outlineLevel="0" collapsed="false">
      <c r="A41" s="2" t="s">
        <v>67</v>
      </c>
      <c r="B41" s="19" t="s">
        <v>334</v>
      </c>
      <c r="C41" s="19" t="s">
        <v>335</v>
      </c>
      <c r="D41" s="2" t="s">
        <v>336</v>
      </c>
    </row>
    <row r="42" customFormat="false" ht="15" hidden="false" customHeight="false" outlineLevel="0" collapsed="false">
      <c r="A42" s="2" t="s">
        <v>69</v>
      </c>
      <c r="B42" s="19" t="s">
        <v>343</v>
      </c>
      <c r="C42" s="19" t="s">
        <v>344</v>
      </c>
      <c r="D42" s="2" t="s">
        <v>345</v>
      </c>
    </row>
    <row r="43" customFormat="false" ht="15" hidden="false" customHeight="false" outlineLevel="0" collapsed="false">
      <c r="A43" s="2" t="s">
        <v>69</v>
      </c>
      <c r="B43" s="19" t="s">
        <v>346</v>
      </c>
      <c r="C43" s="19" t="s">
        <v>347</v>
      </c>
      <c r="D43" s="2" t="s">
        <v>348</v>
      </c>
    </row>
    <row r="44" customFormat="false" ht="15" hidden="false" customHeight="false" outlineLevel="0" collapsed="false">
      <c r="A44" s="2" t="s">
        <v>69</v>
      </c>
      <c r="B44" s="19" t="s">
        <v>349</v>
      </c>
      <c r="C44" s="19" t="s">
        <v>350</v>
      </c>
      <c r="D44" s="2" t="s">
        <v>351</v>
      </c>
    </row>
    <row r="45" customFormat="false" ht="15" hidden="false" customHeight="false" outlineLevel="0" collapsed="false">
      <c r="A45" s="2" t="s">
        <v>69</v>
      </c>
      <c r="B45" s="19" t="s">
        <v>353</v>
      </c>
      <c r="C45" s="19" t="s">
        <v>354</v>
      </c>
      <c r="D45" s="2" t="s">
        <v>355</v>
      </c>
    </row>
    <row r="46" customFormat="false" ht="15" hidden="false" customHeight="false" outlineLevel="0" collapsed="false">
      <c r="A46" s="2" t="s">
        <v>69</v>
      </c>
      <c r="B46" s="19" t="s">
        <v>356</v>
      </c>
      <c r="C46" s="19" t="s">
        <v>357</v>
      </c>
      <c r="D46" s="2" t="s">
        <v>358</v>
      </c>
    </row>
    <row r="47" customFormat="false" ht="15" hidden="false" customHeight="false" outlineLevel="0" collapsed="false">
      <c r="A47" s="2" t="s">
        <v>69</v>
      </c>
      <c r="B47" s="19" t="s">
        <v>359</v>
      </c>
      <c r="C47" s="19" t="s">
        <v>360</v>
      </c>
      <c r="D47" s="2" t="s">
        <v>361</v>
      </c>
    </row>
    <row r="48" customFormat="false" ht="15" hidden="false" customHeight="false" outlineLevel="0" collapsed="false">
      <c r="A48" s="2" t="s">
        <v>69</v>
      </c>
      <c r="B48" s="19" t="s">
        <v>365</v>
      </c>
      <c r="C48" s="19" t="s">
        <v>366</v>
      </c>
      <c r="D48" s="2" t="s">
        <v>367</v>
      </c>
    </row>
    <row r="49" customFormat="false" ht="15" hidden="false" customHeight="false" outlineLevel="0" collapsed="false">
      <c r="A49" s="2" t="s">
        <v>69</v>
      </c>
      <c r="B49" s="19" t="s">
        <v>368</v>
      </c>
      <c r="C49" s="19" t="s">
        <v>369</v>
      </c>
      <c r="D49" s="2" t="s">
        <v>370</v>
      </c>
    </row>
    <row r="50" customFormat="false" ht="15" hidden="false" customHeight="false" outlineLevel="0" collapsed="false">
      <c r="A50" s="2" t="s">
        <v>69</v>
      </c>
      <c r="B50" s="19" t="s">
        <v>379</v>
      </c>
      <c r="C50" s="19" t="s">
        <v>182</v>
      </c>
      <c r="D50" s="2" t="s">
        <v>137</v>
      </c>
    </row>
    <row r="51" customFormat="false" ht="15" hidden="false" customHeight="false" outlineLevel="0" collapsed="false">
      <c r="A51" s="2" t="s">
        <v>71</v>
      </c>
      <c r="B51" s="19" t="s">
        <v>383</v>
      </c>
      <c r="C51" s="19" t="s">
        <v>384</v>
      </c>
      <c r="D51" s="2" t="s">
        <v>385</v>
      </c>
    </row>
    <row r="52" customFormat="false" ht="15" hidden="false" customHeight="false" outlineLevel="0" collapsed="false">
      <c r="A52" s="2" t="s">
        <v>71</v>
      </c>
      <c r="B52" s="19" t="s">
        <v>388</v>
      </c>
      <c r="C52" s="19" t="s">
        <v>389</v>
      </c>
      <c r="D52" s="2" t="s">
        <v>390</v>
      </c>
    </row>
    <row r="53" customFormat="false" ht="15" hidden="false" customHeight="false" outlineLevel="0" collapsed="false">
      <c r="A53" s="2" t="s">
        <v>71</v>
      </c>
      <c r="B53" s="19" t="s">
        <v>392</v>
      </c>
      <c r="C53" s="19" t="s">
        <v>393</v>
      </c>
      <c r="D53" s="2" t="s">
        <v>394</v>
      </c>
    </row>
    <row r="54" customFormat="false" ht="15" hidden="false" customHeight="false" outlineLevel="0" collapsed="false">
      <c r="A54" s="2" t="s">
        <v>71</v>
      </c>
      <c r="B54" s="19" t="s">
        <v>396</v>
      </c>
      <c r="C54" s="19" t="s">
        <v>397</v>
      </c>
      <c r="D54" s="2" t="s">
        <v>398</v>
      </c>
    </row>
    <row r="55" customFormat="false" ht="26.85" hidden="false" customHeight="false" outlineLevel="0" collapsed="false">
      <c r="A55" s="2" t="s">
        <v>73</v>
      </c>
      <c r="B55" s="19" t="s">
        <v>402</v>
      </c>
      <c r="C55" s="19" t="s">
        <v>403</v>
      </c>
      <c r="D55" s="2" t="s">
        <v>404</v>
      </c>
    </row>
    <row r="56" customFormat="false" ht="15" hidden="false" customHeight="false" outlineLevel="0" collapsed="false">
      <c r="A56" s="2" t="s">
        <v>73</v>
      </c>
      <c r="B56" s="19" t="s">
        <v>408</v>
      </c>
      <c r="C56" s="19" t="s">
        <v>182</v>
      </c>
      <c r="D56" s="2" t="s">
        <v>137</v>
      </c>
    </row>
    <row r="57" customFormat="false" ht="15" hidden="false" customHeight="false" outlineLevel="0" collapsed="false">
      <c r="A57" s="2" t="s">
        <v>75</v>
      </c>
      <c r="B57" s="19" t="s">
        <v>415</v>
      </c>
      <c r="C57" s="19" t="s">
        <v>416</v>
      </c>
      <c r="D57" s="2" t="s">
        <v>417</v>
      </c>
    </row>
    <row r="58" customFormat="false" ht="15" hidden="false" customHeight="false" outlineLevel="0" collapsed="false">
      <c r="A58" s="2" t="s">
        <v>75</v>
      </c>
      <c r="B58" s="19" t="s">
        <v>421</v>
      </c>
      <c r="C58" s="19" t="s">
        <v>422</v>
      </c>
      <c r="D58" s="2" t="s">
        <v>423</v>
      </c>
    </row>
    <row r="59" customFormat="false" ht="15" hidden="false" customHeight="false" outlineLevel="0" collapsed="false">
      <c r="A59" s="2" t="s">
        <v>77</v>
      </c>
      <c r="B59" s="19" t="s">
        <v>430</v>
      </c>
      <c r="C59" s="19" t="s">
        <v>431</v>
      </c>
      <c r="D59" s="2" t="s">
        <v>432</v>
      </c>
    </row>
    <row r="60" customFormat="false" ht="15" hidden="false" customHeight="false" outlineLevel="0" collapsed="false">
      <c r="A60" s="2" t="s">
        <v>77</v>
      </c>
      <c r="B60" s="19" t="s">
        <v>433</v>
      </c>
      <c r="C60" s="19" t="s">
        <v>434</v>
      </c>
      <c r="D60" s="2" t="s">
        <v>435</v>
      </c>
    </row>
    <row r="61" customFormat="false" ht="26.85" hidden="false" customHeight="false" outlineLevel="0" collapsed="false">
      <c r="A61" s="2" t="s">
        <v>79</v>
      </c>
      <c r="B61" s="19" t="s">
        <v>441</v>
      </c>
      <c r="C61" s="19" t="s">
        <v>442</v>
      </c>
      <c r="D61" s="2" t="s">
        <v>443</v>
      </c>
    </row>
    <row r="62" customFormat="false" ht="15" hidden="false" customHeight="false" outlineLevel="0" collapsed="false">
      <c r="A62" s="2"/>
      <c r="B62" s="2"/>
      <c r="C62" s="2"/>
      <c r="D62" s="2"/>
    </row>
    <row r="63" customFormat="false" ht="15" hidden="false" customHeight="false" outlineLevel="0" collapsed="false">
      <c r="A63" s="2" t="s">
        <v>485</v>
      </c>
      <c r="B63" s="2"/>
      <c r="C63" s="2"/>
      <c r="D63" s="2"/>
    </row>
  </sheetData>
  <hyperlinks>
    <hyperlink ref="D4" r:id="rId1" display="https://new.aisusteel.org/archives/3349"/>
    <hyperlink ref="D5" r:id="rId2" display="https://saudiarabia.paylab.com/salaryinfo/mechanical-engineering/welder"/>
    <hyperlink ref="D6" r:id="rId3" display="https://saudiarabia.paylab.com/salaryinfo/mechanical-engineering/welder"/>
    <hyperlink ref="D7" r:id="rId4" display="https://semitrailers.net/shop/jost-complete-landing-gear-set-model-a400-g-19/"/>
    <hyperlink ref="D8" r:id="rId5" display="https://new.aisusteel.org/archives/3349"/>
    <hyperlink ref="D9" r:id="rId6" display="https://www.alibaba.com/product-insights/sandwich-panel-price-in-saudi.html"/>
    <hyperlink ref="D10" r:id="rId7" display="https://www.madar.com/en_SA/rockwool-slab-50-x-600-x-1200mm-100kg-m3.html"/>
    <hyperlink ref="D11" r:id="rId8" display="https://saudiarabia.paylab.com/salaryinfo/mechanical-engineering/welder"/>
    <hyperlink ref="D12" r:id="rId9" display="https://saudiarabia.paylab.com/salaryinfo/mechanical-engineering/welder"/>
    <hyperlink ref="D13" r:id="rId10" display="https://saudiarabia.paylab.com/salaryinfo/mechanical-engineering/welder"/>
    <hyperlink ref="D14" r:id="rId11" display="https://www.consumeraffairs.com/automotive/scooter-lifts/"/>
    <hyperlink ref="D15" r:id="rId12" display="https://saudiarabia.paylab.com/salaryinfo/mechanical-engineering/welder"/>
    <hyperlink ref="D16" r:id="rId13" display="https://www.floorworld.com/blog-flooring-ideas-expert-advice/2017/august/homogeneous-heterogeneous-sheet-vinyl-flooring/"/>
    <hyperlink ref="D17" r:id="rId14" display="https://saudiarabia.paylab.com/salaryinfo/mechanical-engineering/welder"/>
    <hyperlink ref="D18" r:id="rId15" display="https://pioneerminisplit.com/products/pioneer-13-500-btu-full-inverter-rooftop-rv-air-conditioner-heat-pump-115v"/>
    <hyperlink ref="D19" r:id="rId16" display="https://www.capsulaa.sa/saudi-arabia-services/أسعار-مكيفات-جري-سبليت-في-السعودية/"/>
    <hyperlink ref="D20" r:id="rId17" display="https://www.deltaww.com/en-US/products/cooling-telecom-power-systems/TCAC-1850-Series"/>
    <hyperlink ref="D21" r:id="rId18" display="https://saudiarabia.paylab.com/salaryinfo/mechanical-engineering/welder"/>
    <hyperlink ref="D22" r:id="rId19" display="https://dometic.com/en-us/outdoor/boat/boat-toilets/dometic-vacuflush-5009-75035"/>
    <hyperlink ref="D23" r:id="rId20" display="https://www.dometic.com/en-ca/product/dometic-pump-sw12-9108554750"/>
    <hyperlink ref="D24" r:id="rId21" display="https://saudiarabia.paylab.com/salaryinfo/mechanical-engineering/welder"/>
    <hyperlink ref="D25" r:id="rId22" display="https://saudiarabia.paylab.com/salaryinfo/mechanical-engineering/welder"/>
    <hyperlink ref="D26" r:id="rId23" display="https://saudiarabia.paylab.com/salaryinfo/mechanical-engineering/welder"/>
    <hyperlink ref="D27" r:id="rId24" display="https://saudiarabia.paylab.com/salaryinfo/mechanical-engineering/welder"/>
    <hyperlink ref="D28" r:id="rId25" display="https://autosolar.es/generadores-diesel/generador-diesel-electrico-53-kw-s65000-conn-dpp-monofasico-pramac"/>
    <hyperlink ref="D29" r:id="rId26" display="https://saudiarabia.paylab.com/salaryinfo/mechanical-engineering/welder"/>
    <hyperlink ref="D30" r:id="rId27" display="https://www.solar-electric.com/victron-energy-quattro-inverter-48-10000-140-230vac.html"/>
    <hyperlink ref="D31" r:id="rId28" display="https://muhammed.portlandiaelectric.supply/products/ruixu-lithi2-16-51-2v-314ah-16kwh-lifepo4-battery"/>
    <hyperlink ref="D32" r:id="rId29" display="https://www.wattuneed.com/fr/controleurs-de-charge-victron/25806-victron-cerbo-gx-centre-de-communication-et-de-supervision-0768563819339.html"/>
    <hyperlink ref="D33" r:id="rId30" display="https://signaturesolar.com/victron-energy/?page=2"/>
    <hyperlink ref="D34" r:id="rId31" display="https://ebay.com/usr/lithium_upgrade"/>
    <hyperlink ref="D35" r:id="rId32" display="https://www.ebay.co.uk/str/meadotechcontrols"/>
    <hyperlink ref="D36" r:id="rId33" display="https://navstore.com/collections/victron-energy"/>
    <hyperlink ref="D37" r:id="rId34" display="https://saudiarabia.paylab.com/salaryinfo/mechanical-engineering/welder"/>
    <hyperlink ref="D38" r:id="rId35" display="https://lifepo4.com.au/shop/solar/solarcharrgecontrollers/victron-solarchargecontrollers/victron-smartsolar-mppt-250-60-tr"/>
    <hyperlink ref="D39" r:id="rId36" display="https://store.solarcellzusa.com/products/tigo-energy-ts4-a-f-rapid-shutdown-receiver"/>
    <hyperlink ref="D40" r:id="rId37" display="https://saudiarabia.paylab.com/salaryinfo/mechanical-engineering/welder"/>
    <hyperlink ref="D41" r:id="rId38" display="https://eshop.se.com/sa/apc-smart-ups-on-line-1500va-1500w-tower-230v-6x-c13-iec-outlets-smartslot-extended-runtime-w-o-rail-kit-srt1500xli.html"/>
    <hyperlink ref="D42" r:id="rId39" display="https://datacenter360.ca/store/?p=21334"/>
    <hyperlink ref="D43" r:id="rId40" display="https://www.shi.com/Product/40716112"/>
    <hyperlink ref="D44" r:id="rId41" display="https://serverroomenvironments.co.uk/teltonika-rutx50-industrial-5g-routers"/>
    <hyperlink ref="D45" r:id="rId42" display="https://satspeedcheck.com/cost/saudi-arabia/"/>
    <hyperlink ref="D46" r:id="rId43" display="https://www.hummingbirdnetworks.com/cw9176-series-1/"/>
    <hyperlink ref="D47" r:id="rId44" display="https://store.ibtikar.com.sa/en/product/hikvision-ds-7608ni-q1/"/>
    <hyperlink ref="D48" r:id="rId45" display="https://id-enhancements.com/zkteco-atlas460-four-door-atlas-series-access-control-panel"/>
    <hyperlink ref="D49" r:id="rId46" display="https://neotech.ae/products/zkteco-kr502e-proximity-with-keypad-access-card-reader"/>
    <hyperlink ref="D50" r:id="rId47" display="https://saudiarabia.paylab.com/salaryinfo/mechanical-engineering/welder"/>
    <hyperlink ref="D51" r:id="rId48" display="https://www.carrefouruae.com/mafuae/en/educational/oscar-queue-management-system-for-2-counters-with-main-display/p/6970961140692"/>
    <hyperlink ref="D52" r:id="rId49" display="https://uae.sharafdg.com/ar/?p=5250236"/>
    <hyperlink ref="D53" r:id="rId50" display="https://store.ibtikar.com.sa/en/product-tag/intel-ultra-7-155u/"/>
    <hyperlink ref="D54" r:id="rId51" display="https://www.hp.com/sa-ar/shop/printers/business-printers/color-laserjets.html"/>
    <hyperlink ref="D55" r:id="rId52" display="https://dynamo-led-displays.co.uk/how-much-led-display-cost/"/>
    <hyperlink ref="D56" r:id="rId53" display="https://saudiarabia.paylab.com/salaryinfo/mechanical-engineering/welder"/>
    <hyperlink ref="D57" r:id="rId54" display="https://www.safelincs.co.uk/cfp-alarmsense-4-zone-fire-alarm-panel"/>
    <hyperlink ref="D58" r:id="rId55" display="https://www.firesupplies.ae/product/mega-safety-2-kg-co2-fire-extinguisher/"/>
    <hyperlink ref="D59" r:id="rId56" display="https://www.manomano.co.uk/p/greenbay-sun-shade-retractable-canopy-full-cassette-electric-awning-35x25m-wine-red-70286331"/>
    <hyperlink ref="D60" r:id="rId57" display="https://bunnings.com.au/_p0557764"/>
    <hyperlink ref="D61" r:id="rId58" display="https://ksa.motory.com/ar/%D8%A7%D9%84%D8%A7%D8%AE%D8%A8%D8%A7%D8%B1/%D9%81%D8%AD%D8%B5-%D9%81%D9%86%D9%8A-%D8%AF%D9%88%D8%B1%D9%8A-%D8%B3%D9%8A%D8%A7%D8%B1%D8%A7%D8%AA-%D8%A7%D9%84%D8%B3%D8%B9%D9%88%D8%AF%D9%8A%D8%A9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2026-10-23T16:32:23Z</dcterms:created>
  <dc:creator>openpyxl</dc:creator>
  <dc:description/>
  <dc:language>en-US</dc:language>
  <cp:lastModifiedBy/>
  <dcterms:modified xsi:type="dcterms:W3CDTF">2026-10-23T16:32:23Z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